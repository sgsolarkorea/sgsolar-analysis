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3AC7A9-5DE8-4E4B-9E78-FF72A38823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입력값" sheetId="1" r:id="rId1"/>
    <sheet name="월별분석" sheetId="2" r:id="rId2"/>
    <sheet name="연간분석" sheetId="3" r:id="rId3"/>
    <sheet name="수익성지표" sheetId="4" r:id="rId4"/>
  </sheets>
  <calcPr calcId="191029" iterate="1" iterateCount="1000" iterateDelta="0.01"/>
</workbook>
</file>

<file path=xl/calcChain.xml><?xml version="1.0" encoding="utf-8"?>
<calcChain xmlns="http://schemas.openxmlformats.org/spreadsheetml/2006/main">
  <c r="E22" i="4" l="1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B5" i="4"/>
  <c r="E4" i="4"/>
  <c r="B4" i="4"/>
  <c r="E3" i="4"/>
  <c r="E2" i="4"/>
  <c r="F24" i="3"/>
  <c r="E24" i="3"/>
  <c r="E23" i="3"/>
  <c r="E22" i="3"/>
  <c r="E21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E11" i="3"/>
  <c r="E10" i="3"/>
  <c r="E9" i="3"/>
  <c r="E8" i="3"/>
  <c r="E7" i="3"/>
  <c r="E6" i="3"/>
  <c r="E5" i="3"/>
  <c r="G4" i="3"/>
  <c r="F2" i="4" s="1"/>
  <c r="B15" i="2"/>
  <c r="B14" i="2"/>
  <c r="C13" i="2"/>
  <c r="D13" i="2" s="1"/>
  <c r="B13" i="2"/>
  <c r="B12" i="2"/>
  <c r="B11" i="2"/>
  <c r="C10" i="2"/>
  <c r="D10" i="2" s="1"/>
  <c r="B10" i="2"/>
  <c r="B9" i="2"/>
  <c r="D8" i="2"/>
  <c r="C8" i="2"/>
  <c r="B8" i="2"/>
  <c r="B7" i="2"/>
  <c r="B6" i="2"/>
  <c r="D5" i="2"/>
  <c r="C5" i="2"/>
  <c r="B5" i="2"/>
  <c r="B4" i="2"/>
  <c r="B16" i="2" s="1"/>
  <c r="B47" i="1"/>
  <c r="B29" i="1"/>
  <c r="E15" i="2" s="1"/>
  <c r="B21" i="1"/>
  <c r="B18" i="1"/>
  <c r="C11" i="2" s="1"/>
  <c r="B9" i="1"/>
  <c r="B6" i="4" s="1"/>
  <c r="B7" i="1"/>
  <c r="F21" i="3" l="1"/>
  <c r="F22" i="3"/>
  <c r="F20" i="3"/>
  <c r="F23" i="3"/>
  <c r="D11" i="2"/>
  <c r="F6" i="3"/>
  <c r="F5" i="3"/>
  <c r="F7" i="3"/>
  <c r="F8" i="3"/>
  <c r="F9" i="3"/>
  <c r="F10" i="3"/>
  <c r="F11" i="3"/>
  <c r="E6" i="2"/>
  <c r="D7" i="3"/>
  <c r="D10" i="3"/>
  <c r="D13" i="3"/>
  <c r="D16" i="3"/>
  <c r="D19" i="3"/>
  <c r="D22" i="3"/>
  <c r="E11" i="2"/>
  <c r="C7" i="2"/>
  <c r="D7" i="2" s="1"/>
  <c r="F7" i="2" s="1"/>
  <c r="C12" i="2"/>
  <c r="D12" i="2" s="1"/>
  <c r="E7" i="2"/>
  <c r="H4" i="3"/>
  <c r="E12" i="2"/>
  <c r="B5" i="3"/>
  <c r="C5" i="3" s="1"/>
  <c r="B8" i="3"/>
  <c r="C8" i="3" s="1"/>
  <c r="B11" i="3"/>
  <c r="C11" i="3" s="1"/>
  <c r="B14" i="3"/>
  <c r="C14" i="3" s="1"/>
  <c r="G14" i="3" s="1"/>
  <c r="F12" i="4" s="1"/>
  <c r="B17" i="3"/>
  <c r="C17" i="3" s="1"/>
  <c r="G17" i="3" s="1"/>
  <c r="F15" i="4" s="1"/>
  <c r="B20" i="3"/>
  <c r="C20" i="3" s="1"/>
  <c r="G20" i="3" s="1"/>
  <c r="F18" i="4" s="1"/>
  <c r="B23" i="3"/>
  <c r="C23" i="3" s="1"/>
  <c r="D5" i="3"/>
  <c r="D8" i="3"/>
  <c r="D11" i="3"/>
  <c r="D14" i="3"/>
  <c r="D17" i="3"/>
  <c r="D20" i="3"/>
  <c r="D23" i="3"/>
  <c r="E13" i="2"/>
  <c r="F13" i="2" s="1"/>
  <c r="C4" i="2"/>
  <c r="C9" i="2"/>
  <c r="D9" i="2" s="1"/>
  <c r="E4" i="2"/>
  <c r="C14" i="2"/>
  <c r="D14" i="2" s="1"/>
  <c r="B6" i="3"/>
  <c r="C6" i="3" s="1"/>
  <c r="B9" i="3"/>
  <c r="C9" i="3" s="1"/>
  <c r="G9" i="3" s="1"/>
  <c r="F7" i="4" s="1"/>
  <c r="B12" i="3"/>
  <c r="C12" i="3" s="1"/>
  <c r="G12" i="3" s="1"/>
  <c r="F10" i="4" s="1"/>
  <c r="B15" i="3"/>
  <c r="C15" i="3" s="1"/>
  <c r="G15" i="3" s="1"/>
  <c r="F13" i="4" s="1"/>
  <c r="B18" i="3"/>
  <c r="C18" i="3" s="1"/>
  <c r="G18" i="3" s="1"/>
  <c r="F16" i="4" s="1"/>
  <c r="B21" i="3"/>
  <c r="C21" i="3" s="1"/>
  <c r="G21" i="3" s="1"/>
  <c r="F19" i="4" s="1"/>
  <c r="B24" i="3"/>
  <c r="C24" i="3" s="1"/>
  <c r="G24" i="3" s="1"/>
  <c r="F22" i="4" s="1"/>
  <c r="E8" i="2"/>
  <c r="F8" i="2" s="1"/>
  <c r="E9" i="2"/>
  <c r="E14" i="2"/>
  <c r="D6" i="3"/>
  <c r="D9" i="3"/>
  <c r="D12" i="3"/>
  <c r="D15" i="3"/>
  <c r="D18" i="3"/>
  <c r="D21" i="3"/>
  <c r="D24" i="3"/>
  <c r="E5" i="2"/>
  <c r="F5" i="2" s="1"/>
  <c r="C15" i="2"/>
  <c r="D15" i="2" s="1"/>
  <c r="F15" i="2" s="1"/>
  <c r="E10" i="2"/>
  <c r="F10" i="2" s="1"/>
  <c r="C6" i="2"/>
  <c r="D6" i="2" s="1"/>
  <c r="F6" i="2" s="1"/>
  <c r="B7" i="3"/>
  <c r="C7" i="3" s="1"/>
  <c r="B10" i="3"/>
  <c r="C10" i="3" s="1"/>
  <c r="B13" i="3"/>
  <c r="C13" i="3" s="1"/>
  <c r="G13" i="3" s="1"/>
  <c r="F11" i="4" s="1"/>
  <c r="B16" i="3"/>
  <c r="C16" i="3" s="1"/>
  <c r="G16" i="3" s="1"/>
  <c r="F14" i="4" s="1"/>
  <c r="B19" i="3"/>
  <c r="C19" i="3" s="1"/>
  <c r="G19" i="3" s="1"/>
  <c r="F17" i="4" s="1"/>
  <c r="B22" i="3"/>
  <c r="C22" i="3" s="1"/>
  <c r="G22" i="3" s="1"/>
  <c r="F20" i="4" s="1"/>
  <c r="G11" i="3" l="1"/>
  <c r="F9" i="4" s="1"/>
  <c r="G8" i="3"/>
  <c r="F6" i="4" s="1"/>
  <c r="F11" i="2"/>
  <c r="G10" i="3"/>
  <c r="F8" i="4" s="1"/>
  <c r="G7" i="3"/>
  <c r="F5" i="4" s="1"/>
  <c r="B7" i="4"/>
  <c r="G5" i="3"/>
  <c r="H5" i="3" s="1"/>
  <c r="G6" i="3"/>
  <c r="F4" i="4" s="1"/>
  <c r="F14" i="2"/>
  <c r="E16" i="2"/>
  <c r="F9" i="2"/>
  <c r="D4" i="2"/>
  <c r="C16" i="2"/>
  <c r="G2" i="4"/>
  <c r="F12" i="2"/>
  <c r="G23" i="3"/>
  <c r="F21" i="4" s="1"/>
  <c r="H6" i="3" l="1"/>
  <c r="I5" i="3"/>
  <c r="G3" i="4"/>
  <c r="B8" i="4"/>
  <c r="B14" i="4"/>
  <c r="B12" i="4"/>
  <c r="B16" i="4"/>
  <c r="F3" i="4"/>
  <c r="B9" i="4"/>
  <c r="B15" i="4"/>
  <c r="F4" i="2"/>
  <c r="F16" i="2" s="1"/>
  <c r="D16" i="2"/>
  <c r="I6" i="3" l="1"/>
  <c r="G4" i="4"/>
  <c r="H7" i="3"/>
  <c r="H8" i="3" l="1"/>
  <c r="G5" i="4"/>
  <c r="I7" i="3"/>
  <c r="H9" i="3" l="1"/>
  <c r="G6" i="4"/>
  <c r="I8" i="3"/>
  <c r="I9" i="3" l="1"/>
  <c r="G7" i="4"/>
  <c r="H10" i="3"/>
  <c r="G8" i="4" l="1"/>
  <c r="H11" i="3"/>
  <c r="I10" i="3"/>
  <c r="H12" i="3" l="1"/>
  <c r="I11" i="3"/>
  <c r="G9" i="4"/>
  <c r="I12" i="3" l="1"/>
  <c r="G10" i="4"/>
  <c r="H13" i="3"/>
  <c r="G11" i="4" l="1"/>
  <c r="H14" i="3"/>
  <c r="I13" i="3"/>
  <c r="H15" i="3" l="1"/>
  <c r="G12" i="4"/>
  <c r="I14" i="3"/>
  <c r="I15" i="3" l="1"/>
  <c r="G13" i="4"/>
  <c r="H16" i="3"/>
  <c r="G14" i="4" l="1"/>
  <c r="H17" i="3"/>
  <c r="I16" i="3"/>
  <c r="H18" i="3" l="1"/>
  <c r="I17" i="3"/>
  <c r="G15" i="4"/>
  <c r="I18" i="3" l="1"/>
  <c r="G16" i="4"/>
  <c r="H19" i="3"/>
  <c r="H20" i="3" l="1"/>
  <c r="G17" i="4"/>
  <c r="I19" i="3"/>
  <c r="H21" i="3" l="1"/>
  <c r="I20" i="3"/>
  <c r="G18" i="4"/>
  <c r="I21" i="3" l="1"/>
  <c r="G19" i="4"/>
  <c r="H22" i="3"/>
  <c r="G20" i="4" l="1"/>
  <c r="H23" i="3"/>
  <c r="I22" i="3"/>
  <c r="H24" i="3" l="1"/>
  <c r="G21" i="4"/>
  <c r="I23" i="3"/>
  <c r="G22" i="4" l="1"/>
  <c r="I24" i="3"/>
  <c r="B13" i="4"/>
</calcChain>
</file>

<file path=xl/sharedStrings.xml><?xml version="1.0" encoding="utf-8"?>
<sst xmlns="http://schemas.openxmlformats.org/spreadsheetml/2006/main" count="109" uniqueCount="83">
  <si>
    <t>☀️ 태양광 발전 수익분석</t>
  </si>
  <si>
    <t>※ 노란색 셀만 수정하세요. 나머지는 자동 계산됩니다.</t>
  </si>
  <si>
    <t>[설비 및 투자 정보]</t>
  </si>
  <si>
    <t>설비용량</t>
  </si>
  <si>
    <t>kW</t>
  </si>
  <si>
    <t>총 설치비</t>
  </si>
  <si>
    <t>원</t>
  </si>
  <si>
    <t>kW당 설치비</t>
  </si>
  <si>
    <t>원/kW</t>
  </si>
  <si>
    <t>자기자본</t>
  </si>
  <si>
    <t>대출금</t>
  </si>
  <si>
    <t>대출금리</t>
  </si>
  <si>
    <t>(연이율)</t>
  </si>
  <si>
    <t>대출기간</t>
  </si>
  <si>
    <t>년</t>
  </si>
  <si>
    <t>거치기간</t>
  </si>
  <si>
    <t>분석기간</t>
  </si>
  <si>
    <t>할인율(NPV용)</t>
  </si>
  <si>
    <t>[발전 및 판매 정보]</t>
  </si>
  <si>
    <t>평균 이용률</t>
  </si>
  <si>
    <t>(15%=하루평균3.6시간)</t>
  </si>
  <si>
    <t>연간 예상 발전량</t>
  </si>
  <si>
    <t>kWh/년</t>
  </si>
  <si>
    <t>전력판매단가(SMP)</t>
  </si>
  <si>
    <t>원/kWh</t>
  </si>
  <si>
    <t>REC 단가</t>
  </si>
  <si>
    <t>평균 판매단가</t>
  </si>
  <si>
    <t>성능저하율</t>
  </si>
  <si>
    <t>(연간)</t>
  </si>
  <si>
    <t>인버터 교체연도</t>
  </si>
  <si>
    <t>년차</t>
  </si>
  <si>
    <t>[비용 정보]</t>
  </si>
  <si>
    <t>연 유지보수비</t>
  </si>
  <si>
    <t>원/년</t>
  </si>
  <si>
    <t>연 보험/기타비</t>
  </si>
  <si>
    <t>인버터 교체비용</t>
  </si>
  <si>
    <t>총 연간 운영비</t>
  </si>
  <si>
    <t>[월별 발전 계수]</t>
  </si>
  <si>
    <t>월</t>
  </si>
  <si>
    <t>계수</t>
  </si>
  <si>
    <t>설명</t>
  </si>
  <si>
    <t>겨울(일조량 적음)</t>
  </si>
  <si>
    <t>봄</t>
  </si>
  <si>
    <t>초여름</t>
  </si>
  <si>
    <t>장마전</t>
  </si>
  <si>
    <t>장마</t>
  </si>
  <si>
    <t>가을</t>
  </si>
  <si>
    <t>늦가을</t>
  </si>
  <si>
    <t>겨울</t>
  </si>
  <si>
    <t>월별 계수 합계</t>
  </si>
  <si>
    <t>[비고]</t>
  </si>
  <si>
    <t>메모</t>
  </si>
  <si>
    <t>📊 월별 발전량 및 수익 분석 (1년차 기준)</t>
  </si>
  <si>
    <t>발전계수</t>
  </si>
  <si>
    <t>발전량(kWh)</t>
  </si>
  <si>
    <t>매출(원)</t>
  </si>
  <si>
    <t>운영비(원)</t>
  </si>
  <si>
    <t>순이익(원)</t>
  </si>
  <si>
    <t>합계</t>
  </si>
  <si>
    <t>※ 입력값 시트의 발전계수와 단가를 수정하면 자동으로 재계산됩니다.</t>
  </si>
  <si>
    <t>📈 연간 현금흐름 분석</t>
  </si>
  <si>
    <t>연차</t>
  </si>
  <si>
    <t>교체비(원)</t>
  </si>
  <si>
    <t>대출상환(원)</t>
  </si>
  <si>
    <t>순현금흐름(원)</t>
  </si>
  <si>
    <t>누적현금흐름(원)</t>
  </si>
  <si>
    <t>회수여부</t>
  </si>
  <si>
    <t>※ 대출상환: 거치기간 중 이자만 납부, 이후 원리금균등상환</t>
  </si>
  <si>
    <t>💰 수익성 지표 요약</t>
  </si>
  <si>
    <t>순현금흐름</t>
  </si>
  <si>
    <t>누적현금흐름</t>
  </si>
  <si>
    <t>[투자 요약]</t>
  </si>
  <si>
    <t>총 투자비</t>
  </si>
  <si>
    <t>1년차 예상 매출</t>
  </si>
  <si>
    <t>1년차 예상 순현금흐름</t>
  </si>
  <si>
    <t>20년 총 순현금흐름</t>
  </si>
  <si>
    <t>[수익성 지표]</t>
  </si>
  <si>
    <t>단순 회수기간</t>
  </si>
  <si>
    <t>실제 회수 연차</t>
  </si>
  <si>
    <t>IRR (내부수익률)</t>
  </si>
  <si>
    <t>NPV (순현재가치)</t>
  </si>
  <si>
    <t>총 수익률 (20년)</t>
  </si>
  <si>
    <t>[분석 차트]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</si>
</sst>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1" x14ac:knownFonts="1">
    <font>
      <sz val="11"/>
      <color theme="1"/>
      <name val="맑은 고딕"/>
      <scheme val="minor"/>
    </font>
    <font>
      <b/>
      <sz val="16"/>
      <color rgb="FFFFFFFF"/>
      <name val="Aptos Narrow"/>
    </font>
    <font>
      <sz val="10"/>
      <color rgb="FFFF0000"/>
      <name val="Aptos Narrow"/>
    </font>
    <font>
      <b/>
      <sz val="12"/>
      <name val="Aptos Narrow"/>
    </font>
    <font>
      <sz val="11"/>
      <name val="맑은 고딕"/>
      <scheme val="minor"/>
    </font>
    <font>
      <b/>
      <sz val="11"/>
      <name val="Aptos Narrow"/>
    </font>
    <font>
      <b/>
      <sz val="14"/>
      <color rgb="FFFFFFFF"/>
      <name val="Aptos Narrow"/>
    </font>
    <font>
      <sz val="10"/>
      <color rgb="FF808080"/>
      <name val="Aptos Narrow"/>
    </font>
    <font>
      <sz val="11"/>
      <color rgb="FF228B22"/>
      <name val="맑은 고딕"/>
      <scheme val="minor"/>
    </font>
    <font>
      <sz val="11"/>
      <color rgb="FFC0C0C0"/>
      <name val="맑은 고딕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FFDE7"/>
      </patternFill>
    </fill>
    <fill>
      <patternFill patternType="solid">
        <fgColor rgb="FFF0F0F0"/>
      </patternFill>
    </fill>
    <fill>
      <patternFill patternType="solid">
        <fgColor rgb="FFF2F2F2"/>
      </patternFill>
    </fill>
    <fill>
      <patternFill patternType="solid">
        <fgColor rgb="FFFFF9C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1">
      <alignment vertical="top"/>
    </xf>
  </cellStyleXfs>
  <cellXfs count="33">
    <xf numFmtId="0" fontId="0" fillId="0" borderId="1" xfId="0">
      <alignment vertical="top"/>
    </xf>
    <xf numFmtId="0" fontId="3" fillId="3" borderId="2" xfId="0" applyFont="1" applyFill="1" applyBorder="1">
      <alignment vertical="top"/>
    </xf>
    <xf numFmtId="3" fontId="4" fillId="4" borderId="3" xfId="0" applyNumberFormat="1" applyFont="1" applyFill="1" applyBorder="1" applyAlignment="1">
      <alignment horizontal="right" vertical="top"/>
    </xf>
    <xf numFmtId="3" fontId="4" fillId="5" borderId="3" xfId="0" applyNumberFormat="1" applyFont="1" applyFill="1" applyBorder="1" applyAlignment="1">
      <alignment horizontal="right" vertical="top"/>
    </xf>
    <xf numFmtId="10" fontId="4" fillId="4" borderId="3" xfId="0" applyNumberFormat="1" applyFont="1" applyFill="1" applyBorder="1" applyAlignment="1">
      <alignment horizontal="right" vertical="top"/>
    </xf>
    <xf numFmtId="0" fontId="4" fillId="4" borderId="0" xfId="0" applyFont="1" applyFill="1" applyBorder="1">
      <alignment vertical="top"/>
    </xf>
    <xf numFmtId="0" fontId="5" fillId="0" borderId="0" xfId="0" applyFont="1" applyBorder="1">
      <alignment vertical="top"/>
    </xf>
    <xf numFmtId="176" fontId="4" fillId="4" borderId="3" xfId="0" applyNumberFormat="1" applyFont="1" applyFill="1" applyBorder="1" applyAlignment="1">
      <alignment horizontal="right" vertical="top"/>
    </xf>
    <xf numFmtId="176" fontId="5" fillId="5" borderId="0" xfId="0" applyNumberFormat="1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right" vertical="top"/>
    </xf>
    <xf numFmtId="0" fontId="3" fillId="6" borderId="3" xfId="0" applyFont="1" applyFill="1" applyBorder="1">
      <alignment vertical="top"/>
    </xf>
    <xf numFmtId="176" fontId="3" fillId="6" borderId="3" xfId="0" applyNumberFormat="1" applyFont="1" applyFill="1" applyBorder="1" applyAlignment="1">
      <alignment horizontal="right" vertical="top"/>
    </xf>
    <xf numFmtId="3" fontId="3" fillId="6" borderId="3" xfId="0" applyNumberFormat="1" applyFont="1" applyFill="1" applyBorder="1" applyAlignment="1">
      <alignment horizontal="right" vertical="top"/>
    </xf>
    <xf numFmtId="0" fontId="7" fillId="0" borderId="0" xfId="0" applyFont="1" applyBorder="1">
      <alignment vertical="top"/>
    </xf>
    <xf numFmtId="0" fontId="5" fillId="3" borderId="3" xfId="0" applyFont="1" applyFill="1" applyBorder="1" applyAlignment="1">
      <alignment horizontal="center" vertical="top"/>
    </xf>
    <xf numFmtId="0" fontId="4" fillId="0" borderId="3" xfId="0" applyFont="1" applyBorder="1">
      <alignment vertical="top"/>
    </xf>
    <xf numFmtId="0" fontId="8" fillId="0" borderId="3" xfId="0" applyFont="1" applyBorder="1">
      <alignment vertical="top"/>
    </xf>
    <xf numFmtId="0" fontId="9" fillId="0" borderId="0" xfId="0" applyFont="1" applyBorder="1">
      <alignment vertical="top"/>
    </xf>
    <xf numFmtId="0" fontId="4" fillId="0" borderId="4" xfId="0" applyFont="1" applyBorder="1">
      <alignment vertical="top"/>
    </xf>
    <xf numFmtId="3" fontId="4" fillId="7" borderId="4" xfId="0" applyNumberFormat="1" applyFont="1" applyFill="1" applyBorder="1" applyAlignment="1">
      <alignment horizontal="right" vertical="top"/>
    </xf>
    <xf numFmtId="177" fontId="4" fillId="7" borderId="4" xfId="0" applyNumberFormat="1" applyFont="1" applyFill="1" applyBorder="1" applyAlignment="1">
      <alignment horizontal="right" vertical="top"/>
    </xf>
    <xf numFmtId="1" fontId="4" fillId="7" borderId="4" xfId="0" applyNumberFormat="1" applyFont="1" applyFill="1" applyBorder="1" applyAlignment="1">
      <alignment horizontal="right" vertical="top"/>
    </xf>
    <xf numFmtId="10" fontId="4" fillId="7" borderId="4" xfId="0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top"/>
    </xf>
    <xf numFmtId="0" fontId="0" fillId="0" borderId="1" xfId="0">
      <alignment vertical="top"/>
    </xf>
    <xf numFmtId="0" fontId="2" fillId="0" borderId="0" xfId="0" applyFont="1" applyBorder="1">
      <alignment vertical="top"/>
    </xf>
    <xf numFmtId="0" fontId="4" fillId="4" borderId="3" xfId="0" applyFont="1" applyFill="1" applyBorder="1">
      <alignment vertical="top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Border="1">
      <alignment vertical="top"/>
    </xf>
    <xf numFmtId="0" fontId="3" fillId="3" borderId="0" xfId="0" applyFont="1" applyFill="1" applyBorder="1">
      <alignment vertical="top"/>
    </xf>
  </cellXfs>
  <cellStyles count="1">
    <cellStyle name="표준" xfId="0" builtinId="0"/>
  </cellStyles>
  <dxfs count="2">
    <dxf>
      <font>
        <color rgb="FF008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ko-KR" altLang="en-US" sz="1050" b="0">
                <a:solidFill>
                  <a:srgbClr val="333333"/>
                </a:solidFill>
                <a:latin typeface="Arial"/>
              </a:rPr>
              <a:t>누적 현금흐름 추이</a:t>
            </a:r>
            <a:endParaRPr lang="ko-KR" alt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수익성지표!$G$1</c:f>
              <c:strCache>
                <c:ptCount val="1"/>
                <c:pt idx="0">
                  <c:v>누적현금흐름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수익성지표!$E$2:$E$22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수익성지표!$G$2:$G$22</c:f>
              <c:numCache>
                <c:formatCode>General</c:formatCode>
                <c:ptCount val="21"/>
                <c:pt idx="0">
                  <c:v>-90000000</c:v>
                </c:pt>
                <c:pt idx="1">
                  <c:v>-73219800</c:v>
                </c:pt>
                <c:pt idx="2">
                  <c:v>-56566401</c:v>
                </c:pt>
                <c:pt idx="3">
                  <c:v>-40039168.995000005</c:v>
                </c:pt>
                <c:pt idx="4">
                  <c:v>-29198661.586716596</c:v>
                </c:pt>
                <c:pt idx="5">
                  <c:v>-18483062.657658063</c:v>
                </c:pt>
                <c:pt idx="6">
                  <c:v>-7891747.6654282771</c:v>
                </c:pt>
                <c:pt idx="7">
                  <c:v>2575904.8096568994</c:v>
                </c:pt>
                <c:pt idx="8">
                  <c:v>12920513.080183189</c:v>
                </c:pt>
                <c:pt idx="9">
                  <c:v>23142692.367173392</c:v>
                </c:pt>
                <c:pt idx="10">
                  <c:v>26243054.815545186</c:v>
                </c:pt>
                <c:pt idx="11">
                  <c:v>36222209.509491667</c:v>
                </c:pt>
                <c:pt idx="12">
                  <c:v>46080762.487784952</c:v>
                </c:pt>
                <c:pt idx="13">
                  <c:v>55819316.759003311</c:v>
                </c:pt>
                <c:pt idx="14">
                  <c:v>65438472.31668213</c:v>
                </c:pt>
                <c:pt idx="15">
                  <c:v>74938826.154389098</c:v>
                </c:pt>
                <c:pt idx="16">
                  <c:v>84320972.280724064</c:v>
                </c:pt>
                <c:pt idx="17">
                  <c:v>93585501.7342439</c:v>
                </c:pt>
                <c:pt idx="18">
                  <c:v>102733002.59831268</c:v>
                </c:pt>
                <c:pt idx="19">
                  <c:v>111764060.01587765</c:v>
                </c:pt>
                <c:pt idx="20">
                  <c:v>120679256.20417134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B-4EE6-A28A-46776180F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03585"/>
        <c:axId val="54481469"/>
      </c:lineChart>
      <c:catAx>
        <c:axId val="49903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0">
                    <a:solidFill>
                      <a:srgbClr val="333333"/>
                    </a:solidFill>
                    <a:latin typeface="Arial"/>
                  </a:defRPr>
                </a:pPr>
                <a:r>
                  <a:rPr lang="ko-KR" altLang="en-US" sz="825" b="0">
                    <a:solidFill>
                      <a:srgbClr val="333333"/>
                    </a:solidFill>
                    <a:latin typeface="Arial"/>
                  </a:rPr>
                  <a:t>연차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ko-KR"/>
          </a:p>
        </c:txPr>
        <c:crossAx val="54481469"/>
        <c:crosses val="autoZero"/>
        <c:auto val="1"/>
        <c:lblAlgn val="ctr"/>
        <c:lblOffset val="0"/>
        <c:tickMarkSkip val="1"/>
        <c:noMultiLvlLbl val="1"/>
      </c:catAx>
      <c:valAx>
        <c:axId val="54481469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25" b="0">
                    <a:solidFill>
                      <a:srgbClr val="333333"/>
                    </a:solidFill>
                    <a:latin typeface="Arial"/>
                  </a:defRPr>
                </a:pPr>
                <a:r>
                  <a:rPr lang="ko-KR" altLang="en-US" sz="825" b="0">
                    <a:solidFill>
                      <a:srgbClr val="333333"/>
                    </a:solidFill>
                    <a:latin typeface="Arial"/>
                  </a:rPr>
                  <a:t>금액 </a:t>
                </a:r>
                <a:r>
                  <a:rPr lang="en-US" altLang="ko-KR" sz="825" b="0">
                    <a:solidFill>
                      <a:srgbClr val="333333"/>
                    </a:solidFill>
                    <a:latin typeface="Arial"/>
                  </a:rPr>
                  <a:t>(</a:t>
                </a:r>
                <a:r>
                  <a:rPr lang="ko-KR" altLang="en-US" sz="825" b="0">
                    <a:solidFill>
                      <a:srgbClr val="333333"/>
                    </a:solidFill>
                    <a:latin typeface="Arial"/>
                  </a:rPr>
                  <a:t>원</a:t>
                </a:r>
                <a:r>
                  <a:rPr lang="en-US" altLang="ko-KR" sz="825" b="0">
                    <a:solidFill>
                      <a:srgbClr val="333333"/>
                    </a:solidFill>
                    <a:latin typeface="Arial"/>
                  </a:rPr>
                  <a:t>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ko-KR"/>
          </a:p>
        </c:txPr>
        <c:crossAx val="4990358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ko-KR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ko-KR" altLang="en-US" sz="1050" b="0">
                <a:solidFill>
                  <a:srgbClr val="333333"/>
                </a:solidFill>
                <a:latin typeface="Arial"/>
              </a:rPr>
              <a:t>연도별 순현금흐름</a:t>
            </a:r>
            <a:endParaRPr lang="ko-KR" alt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수익성지표!$F$1</c:f>
              <c:strCache>
                <c:ptCount val="1"/>
                <c:pt idx="0">
                  <c:v>순현금흐름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수익성지표!$E$2:$E$22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수익성지표!$F$2:$F$22</c:f>
              <c:numCache>
                <c:formatCode>General</c:formatCode>
                <c:ptCount val="21"/>
                <c:pt idx="0">
                  <c:v>-90000000</c:v>
                </c:pt>
                <c:pt idx="1">
                  <c:v>16780200</c:v>
                </c:pt>
                <c:pt idx="2">
                  <c:v>16653399</c:v>
                </c:pt>
                <c:pt idx="3">
                  <c:v>16527232.004999999</c:v>
                </c:pt>
                <c:pt idx="4">
                  <c:v>10840507.408283409</c:v>
                </c:pt>
                <c:pt idx="5">
                  <c:v>10715598.929058533</c:v>
                </c:pt>
                <c:pt idx="6">
                  <c:v>10591314.992229786</c:v>
                </c:pt>
                <c:pt idx="7">
                  <c:v>10467652.475085177</c:v>
                </c:pt>
                <c:pt idx="8">
                  <c:v>10344608.27052629</c:v>
                </c:pt>
                <c:pt idx="9">
                  <c:v>10222179.286990203</c:v>
                </c:pt>
                <c:pt idx="10">
                  <c:v>3100362.4483717941</c:v>
                </c:pt>
                <c:pt idx="11">
                  <c:v>9979154.693946477</c:v>
                </c:pt>
                <c:pt idx="12">
                  <c:v>9858552.9782932848</c:v>
                </c:pt>
                <c:pt idx="13">
                  <c:v>9738554.2712183632</c:v>
                </c:pt>
                <c:pt idx="14">
                  <c:v>9619155.557678815</c:v>
                </c:pt>
                <c:pt idx="15">
                  <c:v>9500353.8377069645</c:v>
                </c:pt>
                <c:pt idx="16">
                  <c:v>9382146.126334969</c:v>
                </c:pt>
                <c:pt idx="17">
                  <c:v>9264529.4535198361</c:v>
                </c:pt>
                <c:pt idx="18">
                  <c:v>9147500.8640687801</c:v>
                </c:pt>
                <c:pt idx="19">
                  <c:v>9031057.417564977</c:v>
                </c:pt>
                <c:pt idx="20">
                  <c:v>8915196.1882936954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2-443E-9BEE-F06CA8DD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61928462"/>
        <c:axId val="91245944"/>
      </c:barChart>
      <c:catAx>
        <c:axId val="61928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0">
                    <a:solidFill>
                      <a:srgbClr val="333333"/>
                    </a:solidFill>
                    <a:latin typeface="Arial"/>
                  </a:defRPr>
                </a:pPr>
                <a:r>
                  <a:rPr lang="ko-KR" altLang="en-US" sz="825" b="0">
                    <a:solidFill>
                      <a:srgbClr val="333333"/>
                    </a:solidFill>
                    <a:latin typeface="Arial"/>
                  </a:rPr>
                  <a:t>연차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ko-KR"/>
          </a:p>
        </c:txPr>
        <c:crossAx val="91245944"/>
        <c:crosses val="autoZero"/>
        <c:auto val="1"/>
        <c:lblAlgn val="ctr"/>
        <c:lblOffset val="0"/>
        <c:tickMarkSkip val="1"/>
        <c:noMultiLvlLbl val="1"/>
      </c:catAx>
      <c:valAx>
        <c:axId val="91245944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25" b="0">
                    <a:solidFill>
                      <a:srgbClr val="333333"/>
                    </a:solidFill>
                    <a:latin typeface="Arial"/>
                  </a:defRPr>
                </a:pPr>
                <a:r>
                  <a:rPr lang="ko-KR" altLang="en-US" sz="825" b="0">
                    <a:solidFill>
                      <a:srgbClr val="333333"/>
                    </a:solidFill>
                    <a:latin typeface="Arial"/>
                  </a:rPr>
                  <a:t>금액 </a:t>
                </a:r>
                <a:r>
                  <a:rPr lang="en-US" altLang="ko-KR" sz="825" b="0">
                    <a:solidFill>
                      <a:srgbClr val="333333"/>
                    </a:solidFill>
                    <a:latin typeface="Arial"/>
                  </a:rPr>
                  <a:t>(</a:t>
                </a:r>
                <a:r>
                  <a:rPr lang="ko-KR" altLang="en-US" sz="825" b="0">
                    <a:solidFill>
                      <a:srgbClr val="333333"/>
                    </a:solidFill>
                    <a:latin typeface="Arial"/>
                  </a:rPr>
                  <a:t>원</a:t>
                </a:r>
                <a:r>
                  <a:rPr lang="en-US" altLang="ko-KR" sz="825" b="0">
                    <a:solidFill>
                      <a:srgbClr val="333333"/>
                    </a:solidFill>
                    <a:latin typeface="Arial"/>
                  </a:rPr>
                  <a:t>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ko-KR"/>
          </a:p>
        </c:txPr>
        <c:crossAx val="6192846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ko-KR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123825</xdr:rowOff>
    </xdr:from>
    <xdr:to>
      <xdr:col>4</xdr:col>
      <xdr:colOff>457200</xdr:colOff>
      <xdr:row>37</xdr:row>
      <xdr:rowOff>123825</xdr:rowOff>
    </xdr:to>
    <xdr:graphicFrame macro="">
      <xdr:nvGraphicFramePr>
        <xdr:cNvPr id="2" name="CumulativeCashFlow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22</xdr:row>
      <xdr:rowOff>123825</xdr:rowOff>
    </xdr:from>
    <xdr:to>
      <xdr:col>13</xdr:col>
      <xdr:colOff>95250</xdr:colOff>
      <xdr:row>37</xdr:row>
      <xdr:rowOff>123825</xdr:rowOff>
    </xdr:to>
    <xdr:graphicFrame macro="">
      <xdr:nvGraphicFramePr>
        <xdr:cNvPr id="3" name="AnnualCashFlow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C008-F20C-9BEB-1042-C3E479832D25}">
  <dimension ref="A1:D50"/>
  <sheetViews>
    <sheetView tabSelected="1" workbookViewId="0">
      <selection activeCell="F22" sqref="F22"/>
    </sheetView>
  </sheetViews>
  <sheetFormatPr defaultColWidth="8.875" defaultRowHeight="15" customHeight="1" x14ac:dyDescent="0.3"/>
  <cols>
    <col min="1" max="1" width="22.875" customWidth="1"/>
    <col min="2" max="2" width="18.625" customWidth="1"/>
    <col min="3" max="3" width="22.875" customWidth="1"/>
  </cols>
  <sheetData>
    <row r="1" spans="1:4" ht="21" customHeight="1" x14ac:dyDescent="0.3">
      <c r="A1" s="26" t="s">
        <v>0</v>
      </c>
      <c r="B1" s="27"/>
      <c r="C1" s="27"/>
      <c r="D1" s="27"/>
    </row>
    <row r="2" spans="1:4" ht="14.25" customHeight="1" x14ac:dyDescent="0.3">
      <c r="A2" s="28" t="s">
        <v>1</v>
      </c>
      <c r="B2" s="27"/>
      <c r="C2" s="27"/>
      <c r="D2" s="27"/>
    </row>
    <row r="4" spans="1:4" ht="15.75" customHeight="1" x14ac:dyDescent="0.3">
      <c r="A4" s="1" t="s">
        <v>2</v>
      </c>
    </row>
    <row r="5" spans="1:4" ht="15.75" customHeight="1" x14ac:dyDescent="0.3">
      <c r="A5" t="s">
        <v>3</v>
      </c>
      <c r="B5" s="2">
        <v>100</v>
      </c>
      <c r="C5" t="s">
        <v>4</v>
      </c>
    </row>
    <row r="6" spans="1:4" ht="15.75" customHeight="1" x14ac:dyDescent="0.3">
      <c r="A6" t="s">
        <v>5</v>
      </c>
      <c r="B6" s="2">
        <v>230000000</v>
      </c>
      <c r="C6" t="s">
        <v>6</v>
      </c>
    </row>
    <row r="7" spans="1:4" ht="15.75" customHeight="1" x14ac:dyDescent="0.3">
      <c r="A7" t="s">
        <v>7</v>
      </c>
      <c r="B7" s="3">
        <f>B6/B5</f>
        <v>2300000</v>
      </c>
      <c r="C7" t="s">
        <v>8</v>
      </c>
    </row>
    <row r="8" spans="1:4" ht="15.75" customHeight="1" x14ac:dyDescent="0.3">
      <c r="A8" t="s">
        <v>9</v>
      </c>
      <c r="B8" s="2">
        <v>90000000</v>
      </c>
      <c r="C8" t="s">
        <v>6</v>
      </c>
    </row>
    <row r="9" spans="1:4" ht="15.75" customHeight="1" x14ac:dyDescent="0.3">
      <c r="A9" t="s">
        <v>10</v>
      </c>
      <c r="B9" s="3">
        <f>B6-B8</f>
        <v>140000000</v>
      </c>
      <c r="C9" t="s">
        <v>6</v>
      </c>
    </row>
    <row r="10" spans="1:4" ht="15.75" customHeight="1" x14ac:dyDescent="0.3">
      <c r="A10" t="s">
        <v>11</v>
      </c>
      <c r="B10" s="4">
        <v>4.7E-2</v>
      </c>
      <c r="C10" t="s">
        <v>12</v>
      </c>
    </row>
    <row r="11" spans="1:4" ht="15.75" customHeight="1" x14ac:dyDescent="0.3">
      <c r="A11" t="s">
        <v>13</v>
      </c>
      <c r="B11" s="2">
        <v>20</v>
      </c>
      <c r="C11" t="s">
        <v>14</v>
      </c>
    </row>
    <row r="12" spans="1:4" ht="15.75" customHeight="1" x14ac:dyDescent="0.3">
      <c r="A12" t="s">
        <v>15</v>
      </c>
      <c r="B12" s="2">
        <v>3</v>
      </c>
      <c r="C12" t="s">
        <v>14</v>
      </c>
    </row>
    <row r="13" spans="1:4" ht="15.75" customHeight="1" x14ac:dyDescent="0.3">
      <c r="A13" t="s">
        <v>16</v>
      </c>
      <c r="B13" s="2">
        <v>20</v>
      </c>
      <c r="C13" t="s">
        <v>14</v>
      </c>
    </row>
    <row r="14" spans="1:4" ht="15.75" customHeight="1" x14ac:dyDescent="0.3">
      <c r="A14" t="s">
        <v>17</v>
      </c>
      <c r="B14" s="4">
        <v>0.05</v>
      </c>
      <c r="C14" t="s">
        <v>12</v>
      </c>
    </row>
    <row r="15" spans="1:4" ht="15" customHeight="1" x14ac:dyDescent="0.3">
      <c r="B15" s="5"/>
    </row>
    <row r="16" spans="1:4" ht="15.75" customHeight="1" x14ac:dyDescent="0.3">
      <c r="A16" s="1" t="s">
        <v>18</v>
      </c>
      <c r="B16" s="5"/>
    </row>
    <row r="17" spans="1:3" ht="15.75" customHeight="1" x14ac:dyDescent="0.3">
      <c r="A17" t="s">
        <v>19</v>
      </c>
      <c r="B17" s="4">
        <v>0.15</v>
      </c>
      <c r="C17" t="s">
        <v>20</v>
      </c>
    </row>
    <row r="18" spans="1:3" ht="15.75" customHeight="1" x14ac:dyDescent="0.3">
      <c r="A18" t="s">
        <v>21</v>
      </c>
      <c r="B18" s="3">
        <f>B5*B17*24*365</f>
        <v>131400</v>
      </c>
      <c r="C18" t="s">
        <v>22</v>
      </c>
    </row>
    <row r="19" spans="1:3" ht="15.75" customHeight="1" x14ac:dyDescent="0.3">
      <c r="A19" t="s">
        <v>23</v>
      </c>
      <c r="B19" s="2">
        <v>123</v>
      </c>
      <c r="C19" t="s">
        <v>24</v>
      </c>
    </row>
    <row r="20" spans="1:3" ht="15.75" customHeight="1" x14ac:dyDescent="0.3">
      <c r="A20" t="s">
        <v>25</v>
      </c>
      <c r="B20" s="2">
        <v>70</v>
      </c>
      <c r="C20" t="s">
        <v>24</v>
      </c>
    </row>
    <row r="21" spans="1:3" ht="15.75" customHeight="1" x14ac:dyDescent="0.3">
      <c r="A21" t="s">
        <v>26</v>
      </c>
      <c r="B21" s="3">
        <f>B19+B20</f>
        <v>193</v>
      </c>
      <c r="C21" t="s">
        <v>24</v>
      </c>
    </row>
    <row r="22" spans="1:3" ht="15.75" customHeight="1" x14ac:dyDescent="0.3">
      <c r="A22" t="s">
        <v>27</v>
      </c>
      <c r="B22" s="4">
        <v>5.0000000000000001E-3</v>
      </c>
      <c r="C22" t="s">
        <v>28</v>
      </c>
    </row>
    <row r="23" spans="1:3" ht="15.75" customHeight="1" x14ac:dyDescent="0.3">
      <c r="A23" t="s">
        <v>29</v>
      </c>
      <c r="B23" s="2">
        <v>10</v>
      </c>
      <c r="C23" t="s">
        <v>30</v>
      </c>
    </row>
    <row r="24" spans="1:3" ht="15" customHeight="1" x14ac:dyDescent="0.3">
      <c r="B24" s="5"/>
    </row>
    <row r="25" spans="1:3" ht="15.75" customHeight="1" x14ac:dyDescent="0.3">
      <c r="A25" s="1" t="s">
        <v>31</v>
      </c>
      <c r="B25" s="5"/>
    </row>
    <row r="26" spans="1:3" ht="15.75" customHeight="1" x14ac:dyDescent="0.3">
      <c r="A26" t="s">
        <v>32</v>
      </c>
      <c r="B26" s="2">
        <v>1500000</v>
      </c>
      <c r="C26" t="s">
        <v>33</v>
      </c>
    </row>
    <row r="27" spans="1:3" ht="15.75" customHeight="1" x14ac:dyDescent="0.3">
      <c r="A27" t="s">
        <v>34</v>
      </c>
      <c r="B27" s="2">
        <v>500000</v>
      </c>
      <c r="C27" t="s">
        <v>33</v>
      </c>
    </row>
    <row r="28" spans="1:3" ht="15.75" customHeight="1" x14ac:dyDescent="0.3">
      <c r="A28" t="s">
        <v>35</v>
      </c>
      <c r="B28" s="2">
        <v>7000000</v>
      </c>
      <c r="C28" t="s">
        <v>6</v>
      </c>
    </row>
    <row r="29" spans="1:3" ht="15.75" customHeight="1" x14ac:dyDescent="0.3">
      <c r="A29" t="s">
        <v>36</v>
      </c>
      <c r="B29" s="3">
        <f>B26+B27</f>
        <v>2000000</v>
      </c>
      <c r="C29" t="s">
        <v>33</v>
      </c>
    </row>
    <row r="32" spans="1:3" ht="15.75" customHeight="1" x14ac:dyDescent="0.3">
      <c r="A32" s="1" t="s">
        <v>37</v>
      </c>
    </row>
    <row r="33" spans="1:3" ht="15" customHeight="1" x14ac:dyDescent="0.3">
      <c r="A33" s="6" t="s">
        <v>38</v>
      </c>
      <c r="B33" s="6" t="s">
        <v>39</v>
      </c>
      <c r="C33" s="6" t="s">
        <v>40</v>
      </c>
    </row>
    <row r="34" spans="1:3" ht="15.75" customHeight="1" x14ac:dyDescent="0.3">
      <c r="A34">
        <v>1</v>
      </c>
      <c r="B34" s="7">
        <v>7.0000000000000007E-2</v>
      </c>
      <c r="C34" t="s">
        <v>41</v>
      </c>
    </row>
    <row r="35" spans="1:3" ht="15.75" customHeight="1" x14ac:dyDescent="0.3">
      <c r="A35">
        <v>2</v>
      </c>
      <c r="B35" s="7">
        <v>7.4999999999999997E-2</v>
      </c>
    </row>
    <row r="36" spans="1:3" ht="15.75" customHeight="1" x14ac:dyDescent="0.3">
      <c r="A36">
        <v>3</v>
      </c>
      <c r="B36" s="7">
        <v>8.5000000000000006E-2</v>
      </c>
      <c r="C36" t="s">
        <v>42</v>
      </c>
    </row>
    <row r="37" spans="1:3" ht="15.75" customHeight="1" x14ac:dyDescent="0.3">
      <c r="A37">
        <v>4</v>
      </c>
      <c r="B37" s="7">
        <v>9.5000000000000001E-2</v>
      </c>
    </row>
    <row r="38" spans="1:3" ht="15.75" customHeight="1" x14ac:dyDescent="0.3">
      <c r="A38">
        <v>5</v>
      </c>
      <c r="B38" s="7">
        <v>0.1</v>
      </c>
      <c r="C38" t="s">
        <v>43</v>
      </c>
    </row>
    <row r="39" spans="1:3" ht="15.75" customHeight="1" x14ac:dyDescent="0.3">
      <c r="A39">
        <v>6</v>
      </c>
      <c r="B39" s="7">
        <v>0.09</v>
      </c>
      <c r="C39" t="s">
        <v>44</v>
      </c>
    </row>
    <row r="40" spans="1:3" ht="15.75" customHeight="1" x14ac:dyDescent="0.3">
      <c r="A40">
        <v>7</v>
      </c>
      <c r="B40" s="7">
        <v>7.4999999999999997E-2</v>
      </c>
      <c r="C40" t="s">
        <v>45</v>
      </c>
    </row>
    <row r="41" spans="1:3" ht="15.75" customHeight="1" x14ac:dyDescent="0.3">
      <c r="A41">
        <v>8</v>
      </c>
      <c r="B41" s="7">
        <v>8.5000000000000006E-2</v>
      </c>
    </row>
    <row r="42" spans="1:3" ht="15.75" customHeight="1" x14ac:dyDescent="0.3">
      <c r="A42">
        <v>9</v>
      </c>
      <c r="B42" s="7">
        <v>0.09</v>
      </c>
      <c r="C42" t="s">
        <v>46</v>
      </c>
    </row>
    <row r="43" spans="1:3" ht="15.75" customHeight="1" x14ac:dyDescent="0.3">
      <c r="A43">
        <v>10</v>
      </c>
      <c r="B43" s="7">
        <v>8.5000000000000006E-2</v>
      </c>
    </row>
    <row r="44" spans="1:3" ht="15.75" customHeight="1" x14ac:dyDescent="0.3">
      <c r="A44">
        <v>11</v>
      </c>
      <c r="B44" s="7">
        <v>7.4999999999999997E-2</v>
      </c>
      <c r="C44" t="s">
        <v>47</v>
      </c>
    </row>
    <row r="45" spans="1:3" ht="15.75" customHeight="1" x14ac:dyDescent="0.3">
      <c r="A45">
        <v>12</v>
      </c>
      <c r="B45" s="7">
        <v>7.0000000000000007E-2</v>
      </c>
      <c r="C45" t="s">
        <v>48</v>
      </c>
    </row>
    <row r="47" spans="1:3" ht="15" customHeight="1" x14ac:dyDescent="0.3">
      <c r="A47" s="6" t="s">
        <v>49</v>
      </c>
      <c r="B47" s="8">
        <f>SUM(B34:B45)</f>
        <v>0.99499999999999988</v>
      </c>
    </row>
    <row r="49" spans="1:3" ht="15.75" customHeight="1" x14ac:dyDescent="0.3">
      <c r="A49" s="1" t="s">
        <v>50</v>
      </c>
    </row>
    <row r="50" spans="1:3" ht="15.75" customHeight="1" x14ac:dyDescent="0.3">
      <c r="A50" t="s">
        <v>51</v>
      </c>
      <c r="B50" s="29"/>
      <c r="C50" s="27"/>
    </row>
  </sheetData>
  <mergeCells count="3">
    <mergeCell ref="A1:D1"/>
    <mergeCell ref="A2:D2"/>
    <mergeCell ref="B50:C50"/>
  </mergeCells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22B8-8B9A-DEC8-30E7-C713A1C52498}">
  <dimension ref="A1:F18"/>
  <sheetViews>
    <sheetView workbookViewId="0">
      <selection activeCell="B4" sqref="B4:B15"/>
    </sheetView>
  </sheetViews>
  <sheetFormatPr defaultColWidth="8.875" defaultRowHeight="15" customHeight="1" x14ac:dyDescent="0.3"/>
  <cols>
    <col min="1" max="1" width="8.625" customWidth="1"/>
    <col min="2" max="2" width="12.125" customWidth="1"/>
    <col min="3" max="3" width="15.75" customWidth="1"/>
    <col min="4" max="4" width="17.125" customWidth="1"/>
    <col min="5" max="5" width="15.75" customWidth="1"/>
    <col min="6" max="6" width="17.125" customWidth="1"/>
  </cols>
  <sheetData>
    <row r="1" spans="1:6" ht="18.75" customHeight="1" x14ac:dyDescent="0.3">
      <c r="A1" s="30" t="s">
        <v>52</v>
      </c>
      <c r="B1" s="27"/>
      <c r="C1" s="27"/>
      <c r="D1" s="27"/>
      <c r="E1" s="27"/>
      <c r="F1" s="27"/>
    </row>
    <row r="3" spans="1:6" ht="15.75" customHeight="1" x14ac:dyDescent="0.3">
      <c r="A3" s="9" t="s">
        <v>38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spans="1:6" ht="15" customHeight="1" x14ac:dyDescent="0.3">
      <c r="A4" s="10">
        <v>1</v>
      </c>
      <c r="B4" s="11">
        <f>입력값!B34</f>
        <v>7.0000000000000007E-2</v>
      </c>
      <c r="C4" s="12">
        <f>입력값!$B$18*B4</f>
        <v>9198</v>
      </c>
      <c r="D4" s="12">
        <f>C4*입력값!$B$21</f>
        <v>1775214</v>
      </c>
      <c r="E4" s="12">
        <f>입력값!$B$29/12</f>
        <v>166666.66666666666</v>
      </c>
      <c r="F4" s="12">
        <f t="shared" ref="F4:F15" si="0">D4-E4</f>
        <v>1608547.3333333333</v>
      </c>
    </row>
    <row r="5" spans="1:6" ht="15" customHeight="1" x14ac:dyDescent="0.3">
      <c r="A5" s="10">
        <v>2</v>
      </c>
      <c r="B5" s="11">
        <f>입력값!B35</f>
        <v>7.4999999999999997E-2</v>
      </c>
      <c r="C5" s="12">
        <f>입력값!$B$18*B5</f>
        <v>9855</v>
      </c>
      <c r="D5" s="12">
        <f>C5*입력값!$B$21</f>
        <v>1902015</v>
      </c>
      <c r="E5" s="12">
        <f>입력값!$B$29/12</f>
        <v>166666.66666666666</v>
      </c>
      <c r="F5" s="12">
        <f t="shared" si="0"/>
        <v>1735348.3333333333</v>
      </c>
    </row>
    <row r="6" spans="1:6" ht="15" customHeight="1" x14ac:dyDescent="0.3">
      <c r="A6" s="10">
        <v>3</v>
      </c>
      <c r="B6" s="11">
        <f>입력값!B36</f>
        <v>8.5000000000000006E-2</v>
      </c>
      <c r="C6" s="12">
        <f>입력값!$B$18*B6</f>
        <v>11169</v>
      </c>
      <c r="D6" s="12">
        <f>C6*입력값!$B$21</f>
        <v>2155617</v>
      </c>
      <c r="E6" s="12">
        <f>입력값!$B$29/12</f>
        <v>166666.66666666666</v>
      </c>
      <c r="F6" s="12">
        <f t="shared" si="0"/>
        <v>1988950.3333333333</v>
      </c>
    </row>
    <row r="7" spans="1:6" ht="15" customHeight="1" x14ac:dyDescent="0.3">
      <c r="A7" s="10">
        <v>4</v>
      </c>
      <c r="B7" s="11">
        <f>입력값!B37</f>
        <v>9.5000000000000001E-2</v>
      </c>
      <c r="C7" s="12">
        <f>입력값!$B$18*B7</f>
        <v>12483</v>
      </c>
      <c r="D7" s="12">
        <f>C7*입력값!$B$21</f>
        <v>2409219</v>
      </c>
      <c r="E7" s="12">
        <f>입력값!$B$29/12</f>
        <v>166666.66666666666</v>
      </c>
      <c r="F7" s="12">
        <f t="shared" si="0"/>
        <v>2242552.3333333335</v>
      </c>
    </row>
    <row r="8" spans="1:6" ht="15" customHeight="1" x14ac:dyDescent="0.3">
      <c r="A8" s="10">
        <v>5</v>
      </c>
      <c r="B8" s="11">
        <f>입력값!B38</f>
        <v>0.1</v>
      </c>
      <c r="C8" s="12">
        <f>입력값!$B$18*B8</f>
        <v>13140</v>
      </c>
      <c r="D8" s="12">
        <f>C8*입력값!$B$21</f>
        <v>2536020</v>
      </c>
      <c r="E8" s="12">
        <f>입력값!$B$29/12</f>
        <v>166666.66666666666</v>
      </c>
      <c r="F8" s="12">
        <f t="shared" si="0"/>
        <v>2369353.3333333335</v>
      </c>
    </row>
    <row r="9" spans="1:6" ht="15" customHeight="1" x14ac:dyDescent="0.3">
      <c r="A9" s="10">
        <v>6</v>
      </c>
      <c r="B9" s="11">
        <f>입력값!B39</f>
        <v>0.09</v>
      </c>
      <c r="C9" s="12">
        <f>입력값!$B$18*B9</f>
        <v>11826</v>
      </c>
      <c r="D9" s="12">
        <f>C9*입력값!$B$21</f>
        <v>2282418</v>
      </c>
      <c r="E9" s="12">
        <f>입력값!$B$29/12</f>
        <v>166666.66666666666</v>
      </c>
      <c r="F9" s="12">
        <f t="shared" si="0"/>
        <v>2115751.3333333335</v>
      </c>
    </row>
    <row r="10" spans="1:6" ht="15" customHeight="1" x14ac:dyDescent="0.3">
      <c r="A10" s="10">
        <v>7</v>
      </c>
      <c r="B10" s="11">
        <f>입력값!B40</f>
        <v>7.4999999999999997E-2</v>
      </c>
      <c r="C10" s="12">
        <f>입력값!$B$18*B10</f>
        <v>9855</v>
      </c>
      <c r="D10" s="12">
        <f>C10*입력값!$B$21</f>
        <v>1902015</v>
      </c>
      <c r="E10" s="12">
        <f>입력값!$B$29/12</f>
        <v>166666.66666666666</v>
      </c>
      <c r="F10" s="12">
        <f t="shared" si="0"/>
        <v>1735348.3333333333</v>
      </c>
    </row>
    <row r="11" spans="1:6" ht="15" customHeight="1" x14ac:dyDescent="0.3">
      <c r="A11" s="10">
        <v>8</v>
      </c>
      <c r="B11" s="11">
        <f>입력값!B41</f>
        <v>8.5000000000000006E-2</v>
      </c>
      <c r="C11" s="12">
        <f>입력값!$B$18*B11</f>
        <v>11169</v>
      </c>
      <c r="D11" s="12">
        <f>C11*입력값!$B$21</f>
        <v>2155617</v>
      </c>
      <c r="E11" s="12">
        <f>입력값!$B$29/12</f>
        <v>166666.66666666666</v>
      </c>
      <c r="F11" s="12">
        <f t="shared" si="0"/>
        <v>1988950.3333333333</v>
      </c>
    </row>
    <row r="12" spans="1:6" ht="15" customHeight="1" x14ac:dyDescent="0.3">
      <c r="A12" s="10">
        <v>9</v>
      </c>
      <c r="B12" s="11">
        <f>입력값!B42</f>
        <v>0.09</v>
      </c>
      <c r="C12" s="12">
        <f>입력값!$B$18*B12</f>
        <v>11826</v>
      </c>
      <c r="D12" s="12">
        <f>C12*입력값!$B$21</f>
        <v>2282418</v>
      </c>
      <c r="E12" s="12">
        <f>입력값!$B$29/12</f>
        <v>166666.66666666666</v>
      </c>
      <c r="F12" s="12">
        <f t="shared" si="0"/>
        <v>2115751.3333333335</v>
      </c>
    </row>
    <row r="13" spans="1:6" ht="15" customHeight="1" x14ac:dyDescent="0.3">
      <c r="A13" s="10">
        <v>10</v>
      </c>
      <c r="B13" s="11">
        <f>입력값!B43</f>
        <v>8.5000000000000006E-2</v>
      </c>
      <c r="C13" s="12">
        <f>입력값!$B$18*B13</f>
        <v>11169</v>
      </c>
      <c r="D13" s="12">
        <f>C13*입력값!$B$21</f>
        <v>2155617</v>
      </c>
      <c r="E13" s="12">
        <f>입력값!$B$29/12</f>
        <v>166666.66666666666</v>
      </c>
      <c r="F13" s="12">
        <f t="shared" si="0"/>
        <v>1988950.3333333333</v>
      </c>
    </row>
    <row r="14" spans="1:6" ht="15" customHeight="1" x14ac:dyDescent="0.3">
      <c r="A14" s="10">
        <v>11</v>
      </c>
      <c r="B14" s="11">
        <f>입력값!B44</f>
        <v>7.4999999999999997E-2</v>
      </c>
      <c r="C14" s="12">
        <f>입력값!$B$18*B14</f>
        <v>9855</v>
      </c>
      <c r="D14" s="12">
        <f>C14*입력값!$B$21</f>
        <v>1902015</v>
      </c>
      <c r="E14" s="12">
        <f>입력값!$B$29/12</f>
        <v>166666.66666666666</v>
      </c>
      <c r="F14" s="12">
        <f t="shared" si="0"/>
        <v>1735348.3333333333</v>
      </c>
    </row>
    <row r="15" spans="1:6" ht="15" customHeight="1" x14ac:dyDescent="0.3">
      <c r="A15" s="10">
        <v>12</v>
      </c>
      <c r="B15" s="11">
        <f>입력값!B45</f>
        <v>7.0000000000000007E-2</v>
      </c>
      <c r="C15" s="12">
        <f>입력값!$B$18*B15</f>
        <v>9198</v>
      </c>
      <c r="D15" s="12">
        <f>C15*입력값!$B$21</f>
        <v>1775214</v>
      </c>
      <c r="E15" s="12">
        <f>입력값!$B$29/12</f>
        <v>166666.66666666666</v>
      </c>
      <c r="F15" s="12">
        <f t="shared" si="0"/>
        <v>1608547.3333333333</v>
      </c>
    </row>
    <row r="16" spans="1:6" ht="15" customHeight="1" x14ac:dyDescent="0.3">
      <c r="A16" s="13" t="s">
        <v>58</v>
      </c>
      <c r="B16" s="14">
        <f t="shared" ref="B16:F16" si="1">SUM(B4:B15)</f>
        <v>0.99499999999999988</v>
      </c>
      <c r="C16" s="15">
        <f t="shared" si="1"/>
        <v>130743</v>
      </c>
      <c r="D16" s="15">
        <f t="shared" si="1"/>
        <v>25233399</v>
      </c>
      <c r="E16" s="15">
        <f t="shared" si="1"/>
        <v>2000000.0000000002</v>
      </c>
      <c r="F16" s="15">
        <f t="shared" si="1"/>
        <v>23233399</v>
      </c>
    </row>
    <row r="18" spans="1:6" ht="15" customHeight="1" x14ac:dyDescent="0.3">
      <c r="A18" s="31" t="s">
        <v>59</v>
      </c>
      <c r="B18" s="27"/>
      <c r="C18" s="27"/>
      <c r="D18" s="27"/>
      <c r="E18" s="27"/>
      <c r="F18" s="27"/>
    </row>
  </sheetData>
  <mergeCells count="2">
    <mergeCell ref="A1:F1"/>
    <mergeCell ref="A18:F18"/>
  </mergeCells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F5F7-A736-6BD8-97E2-1C5A8AF1F71A}">
  <dimension ref="A1:I26"/>
  <sheetViews>
    <sheetView workbookViewId="0">
      <selection activeCell="H11" sqref="A4:H11"/>
    </sheetView>
  </sheetViews>
  <sheetFormatPr defaultColWidth="8.875" defaultRowHeight="15" customHeight="1" x14ac:dyDescent="0.3"/>
  <cols>
    <col min="1" max="1" width="8.625" customWidth="1"/>
    <col min="2" max="8" width="14.25" customWidth="1"/>
    <col min="9" max="9" width="12.125" customWidth="1"/>
  </cols>
  <sheetData>
    <row r="1" spans="1:9" ht="26.25" customHeight="1" x14ac:dyDescent="0.3">
      <c r="A1" s="30" t="s">
        <v>60</v>
      </c>
      <c r="B1" s="27"/>
      <c r="C1" s="27"/>
      <c r="D1" s="27"/>
      <c r="E1" s="27"/>
      <c r="F1" s="27"/>
      <c r="G1" s="27"/>
      <c r="H1" s="27"/>
      <c r="I1" s="27"/>
    </row>
    <row r="3" spans="1:9" ht="15" customHeight="1" x14ac:dyDescent="0.3">
      <c r="A3" s="17" t="s">
        <v>61</v>
      </c>
      <c r="B3" s="17" t="s">
        <v>54</v>
      </c>
      <c r="C3" s="17" t="s">
        <v>55</v>
      </c>
      <c r="D3" s="17" t="s">
        <v>56</v>
      </c>
      <c r="E3" s="17" t="s">
        <v>62</v>
      </c>
      <c r="F3" s="17" t="s">
        <v>63</v>
      </c>
      <c r="G3" s="17" t="s">
        <v>64</v>
      </c>
      <c r="H3" s="17" t="s">
        <v>65</v>
      </c>
      <c r="I3" s="17" t="s">
        <v>66</v>
      </c>
    </row>
    <row r="4" spans="1:9" ht="15" customHeight="1" x14ac:dyDescent="0.3">
      <c r="A4" s="18">
        <v>0</v>
      </c>
      <c r="B4" s="12"/>
      <c r="C4" s="12"/>
      <c r="D4" s="12"/>
      <c r="E4" s="12"/>
      <c r="F4" s="12"/>
      <c r="G4" s="12">
        <f>-입력값!B8</f>
        <v>-90000000</v>
      </c>
      <c r="H4" s="12">
        <f>G4</f>
        <v>-90000000</v>
      </c>
      <c r="I4" s="18"/>
    </row>
    <row r="5" spans="1:9" ht="15" customHeight="1" x14ac:dyDescent="0.3">
      <c r="A5" s="18">
        <v>1</v>
      </c>
      <c r="B5" s="12">
        <f>입력값!B18*(1-입력값!B22)^(A5-1)</f>
        <v>131400</v>
      </c>
      <c r="C5" s="12">
        <f>B5*입력값!B21</f>
        <v>25360200</v>
      </c>
      <c r="D5" s="12">
        <f>입력값!B29</f>
        <v>2000000</v>
      </c>
      <c r="E5" s="12">
        <f>IF(A5=입력값!B23,입력값!B28,0)</f>
        <v>0</v>
      </c>
      <c r="F5" s="12">
        <f>IF(A5&lt;=입력값!$B$12,입력값!$B$9*입력값!$B$10,IF(A5&lt;=입력값!$B$11,-PMT(입력값!$B$10,입력값!$B$11-입력값!$B$12,입력값!$B$9),0))</f>
        <v>6580000</v>
      </c>
      <c r="G5" s="12">
        <f t="shared" ref="G5:G24" si="0">C5-D5-E5-F5</f>
        <v>16780200</v>
      </c>
      <c r="H5" s="12">
        <f t="shared" ref="H5:H24" si="1">H4+G5</f>
        <v>-73219800</v>
      </c>
      <c r="I5" s="18" t="str">
        <f t="shared" ref="I5:I24" si="2">IF(H5&gt;=0,"회수완료","")</f>
        <v/>
      </c>
    </row>
    <row r="6" spans="1:9" ht="15" customHeight="1" x14ac:dyDescent="0.3">
      <c r="A6" s="18">
        <v>2</v>
      </c>
      <c r="B6" s="12">
        <f>입력값!B18*(1-입력값!B22)^(A6-1)</f>
        <v>130743</v>
      </c>
      <c r="C6" s="12">
        <f>B6*입력값!B21</f>
        <v>25233399</v>
      </c>
      <c r="D6" s="12">
        <f>입력값!B29</f>
        <v>2000000</v>
      </c>
      <c r="E6" s="12">
        <f>IF(A6=입력값!B23,입력값!B28,0)</f>
        <v>0</v>
      </c>
      <c r="F6" s="12">
        <f>IF(A6&lt;=입력값!$B$12,입력값!$B$9*입력값!$B$10,IF(A6&lt;=입력값!$B$11,-PMT(입력값!$B$10,입력값!$B$11-입력값!$B$12,입력값!$B$9),0))</f>
        <v>6580000</v>
      </c>
      <c r="G6" s="12">
        <f t="shared" si="0"/>
        <v>16653399</v>
      </c>
      <c r="H6" s="12">
        <f t="shared" si="1"/>
        <v>-56566401</v>
      </c>
      <c r="I6" s="18" t="str">
        <f t="shared" si="2"/>
        <v/>
      </c>
    </row>
    <row r="7" spans="1:9" ht="15" customHeight="1" x14ac:dyDescent="0.3">
      <c r="A7" s="18">
        <v>3</v>
      </c>
      <c r="B7" s="12">
        <f>입력값!B18*(1-입력값!B22)^(A7-1)</f>
        <v>130089.285</v>
      </c>
      <c r="C7" s="12">
        <f>B7*입력값!B21</f>
        <v>25107232.004999999</v>
      </c>
      <c r="D7" s="12">
        <f>입력값!B29</f>
        <v>2000000</v>
      </c>
      <c r="E7" s="12">
        <f>IF(A7=입력값!B23,입력값!B28,0)</f>
        <v>0</v>
      </c>
      <c r="F7" s="12">
        <f>IF(A7&lt;=입력값!$B$12,입력값!$B$9*입력값!$B$10,IF(A7&lt;=입력값!$B$11,-PMT(입력값!$B$10,입력값!$B$11-입력값!$B$12,입력값!$B$9),0))</f>
        <v>6580000</v>
      </c>
      <c r="G7" s="12">
        <f t="shared" si="0"/>
        <v>16527232.004999999</v>
      </c>
      <c r="H7" s="12">
        <f t="shared" si="1"/>
        <v>-40039168.995000005</v>
      </c>
      <c r="I7" s="18" t="str">
        <f t="shared" si="2"/>
        <v/>
      </c>
    </row>
    <row r="8" spans="1:9" ht="15" customHeight="1" x14ac:dyDescent="0.3">
      <c r="A8" s="18">
        <v>4</v>
      </c>
      <c r="B8" s="12">
        <f>입력값!B18*(1-입력값!B22)^(A8-1)</f>
        <v>129438.838575</v>
      </c>
      <c r="C8" s="12">
        <f>B8*입력값!B21</f>
        <v>24981695.844975002</v>
      </c>
      <c r="D8" s="12">
        <f>입력값!B29</f>
        <v>2000000</v>
      </c>
      <c r="E8" s="12">
        <f>IF(A8=입력값!B23,입력값!B28,0)</f>
        <v>0</v>
      </c>
      <c r="F8" s="12">
        <f>IF(A8&lt;=입력값!$B$12,입력값!$B$9*입력값!$B$10,IF(A8&lt;=입력값!$B$11,-PMT(입력값!$B$10,입력값!$B$11-입력값!$B$12,입력값!$B$9),0))</f>
        <v>12141188.436691593</v>
      </c>
      <c r="G8" s="12">
        <f t="shared" si="0"/>
        <v>10840507.408283409</v>
      </c>
      <c r="H8" s="12">
        <f t="shared" si="1"/>
        <v>-29198661.586716596</v>
      </c>
      <c r="I8" s="18" t="str">
        <f t="shared" si="2"/>
        <v/>
      </c>
    </row>
    <row r="9" spans="1:9" ht="15" customHeight="1" x14ac:dyDescent="0.3">
      <c r="A9" s="18">
        <v>5</v>
      </c>
      <c r="B9" s="12">
        <f>입력값!B18*(1-입력값!B22)^(A9-1)</f>
        <v>128791.64438212501</v>
      </c>
      <c r="C9" s="12">
        <f>B9*입력값!B21</f>
        <v>24856787.365750127</v>
      </c>
      <c r="D9" s="12">
        <f>입력값!B29</f>
        <v>2000000</v>
      </c>
      <c r="E9" s="12">
        <f>IF(A9=입력값!B23,입력값!B28,0)</f>
        <v>0</v>
      </c>
      <c r="F9" s="12">
        <f>IF(A9&lt;=입력값!$B$12,입력값!$B$9*입력값!$B$10,IF(A9&lt;=입력값!$B$11,-PMT(입력값!$B$10,입력값!$B$11-입력값!$B$12,입력값!$B$9),0))</f>
        <v>12141188.436691593</v>
      </c>
      <c r="G9" s="12">
        <f t="shared" si="0"/>
        <v>10715598.929058533</v>
      </c>
      <c r="H9" s="12">
        <f t="shared" si="1"/>
        <v>-18483062.657658063</v>
      </c>
      <c r="I9" s="18" t="str">
        <f t="shared" si="2"/>
        <v/>
      </c>
    </row>
    <row r="10" spans="1:9" ht="15" customHeight="1" x14ac:dyDescent="0.3">
      <c r="A10" s="18">
        <v>6</v>
      </c>
      <c r="B10" s="12">
        <f>입력값!B18*(1-입력값!B22)^(A10-1)</f>
        <v>128147.68616021439</v>
      </c>
      <c r="C10" s="12">
        <f>B10*입력값!B21</f>
        <v>24732503.428921379</v>
      </c>
      <c r="D10" s="12">
        <f>입력값!B29</f>
        <v>2000000</v>
      </c>
      <c r="E10" s="12">
        <f>IF(A10=입력값!B23,입력값!B28,0)</f>
        <v>0</v>
      </c>
      <c r="F10" s="12">
        <f>IF(A10&lt;=입력값!$B$12,입력값!$B$9*입력값!$B$10,IF(A10&lt;=입력값!$B$11,-PMT(입력값!$B$10,입력값!$B$11-입력값!$B$12,입력값!$B$9),0))</f>
        <v>12141188.436691593</v>
      </c>
      <c r="G10" s="12">
        <f t="shared" si="0"/>
        <v>10591314.992229786</v>
      </c>
      <c r="H10" s="12">
        <f t="shared" si="1"/>
        <v>-7891747.6654282771</v>
      </c>
      <c r="I10" s="18" t="str">
        <f t="shared" si="2"/>
        <v/>
      </c>
    </row>
    <row r="11" spans="1:9" ht="15" customHeight="1" x14ac:dyDescent="0.3">
      <c r="A11" s="18">
        <v>7</v>
      </c>
      <c r="B11" s="12">
        <f>입력값!B18*(1-입력값!B22)^(A11-1)</f>
        <v>127506.94772941331</v>
      </c>
      <c r="C11" s="12">
        <f>B11*입력값!B21</f>
        <v>24608840.91177677</v>
      </c>
      <c r="D11" s="12">
        <f>입력값!B29</f>
        <v>2000000</v>
      </c>
      <c r="E11" s="12">
        <f>IF(A11=입력값!B23,입력값!B28,0)</f>
        <v>0</v>
      </c>
      <c r="F11" s="12">
        <f>IF(A11&lt;=입력값!$B$12,입력값!$B$9*입력값!$B$10,IF(A11&lt;=입력값!$B$11,-PMT(입력값!$B$10,입력값!$B$11-입력값!$B$12,입력값!$B$9),0))</f>
        <v>12141188.436691593</v>
      </c>
      <c r="G11" s="12">
        <f t="shared" si="0"/>
        <v>10467652.475085177</v>
      </c>
      <c r="H11" s="12">
        <f t="shared" si="1"/>
        <v>2575904.8096568994</v>
      </c>
      <c r="I11" s="18" t="str">
        <f t="shared" si="2"/>
        <v>회수완료</v>
      </c>
    </row>
    <row r="12" spans="1:9" ht="15" customHeight="1" x14ac:dyDescent="0.3">
      <c r="A12" s="18">
        <v>8</v>
      </c>
      <c r="B12" s="12">
        <f>입력값!B18*(1-입력값!B22)^(A12-1)</f>
        <v>126869.41299076624</v>
      </c>
      <c r="C12" s="12">
        <f>B12*입력값!B21</f>
        <v>24485796.707217883</v>
      </c>
      <c r="D12" s="12">
        <f>입력값!B29</f>
        <v>2000000</v>
      </c>
      <c r="E12" s="12">
        <f>IF(A12=입력값!B23,입력값!B28,0)</f>
        <v>0</v>
      </c>
      <c r="F12" s="12">
        <f>IF(A12&lt;=입력값!$B$12,입력값!$B$9*입력값!$B$10,IF(A12&lt;=입력값!$B$11,-PMT(입력값!$B$10,입력값!$B$11-입력값!$B$12,입력값!$B$9),0))</f>
        <v>12141188.436691593</v>
      </c>
      <c r="G12" s="12">
        <f t="shared" si="0"/>
        <v>10344608.27052629</v>
      </c>
      <c r="H12" s="12">
        <f t="shared" si="1"/>
        <v>12920513.080183189</v>
      </c>
      <c r="I12" s="18" t="str">
        <f t="shared" si="2"/>
        <v>회수완료</v>
      </c>
    </row>
    <row r="13" spans="1:9" ht="15" customHeight="1" x14ac:dyDescent="0.3">
      <c r="A13" s="18">
        <v>9</v>
      </c>
      <c r="B13" s="12">
        <f>입력값!B18*(1-입력값!B22)^(A13-1)</f>
        <v>126235.06592581242</v>
      </c>
      <c r="C13" s="12">
        <f>B13*입력값!B21</f>
        <v>24363367.723681796</v>
      </c>
      <c r="D13" s="12">
        <f>입력값!B29</f>
        <v>2000000</v>
      </c>
      <c r="E13" s="12">
        <f>IF(A13=입력값!B23,입력값!B28,0)</f>
        <v>0</v>
      </c>
      <c r="F13" s="12">
        <f>IF(A13&lt;=입력값!$B$12,입력값!$B$9*입력값!$B$10,IF(A13&lt;=입력값!$B$11,-PMT(입력값!$B$10,입력값!$B$11-입력값!$B$12,입력값!$B$9),0))</f>
        <v>12141188.436691593</v>
      </c>
      <c r="G13" s="12">
        <f t="shared" si="0"/>
        <v>10222179.286990203</v>
      </c>
      <c r="H13" s="12">
        <f t="shared" si="1"/>
        <v>23142692.367173392</v>
      </c>
      <c r="I13" s="18" t="str">
        <f t="shared" si="2"/>
        <v>회수완료</v>
      </c>
    </row>
    <row r="14" spans="1:9" ht="15" customHeight="1" x14ac:dyDescent="0.3">
      <c r="A14" s="18">
        <v>10</v>
      </c>
      <c r="B14" s="12">
        <f>입력값!B18*(1-입력값!B22)^(A14-1)</f>
        <v>125603.89059618335</v>
      </c>
      <c r="C14" s="12">
        <f>B14*입력값!B21</f>
        <v>24241550.885063387</v>
      </c>
      <c r="D14" s="12">
        <f>입력값!B29</f>
        <v>2000000</v>
      </c>
      <c r="E14" s="12">
        <f>IF(A14=입력값!B23,입력값!B28,0)</f>
        <v>7000000</v>
      </c>
      <c r="F14" s="12">
        <f>IF(A14&lt;=입력값!$B$12,입력값!$B$9*입력값!$B$10,IF(A14&lt;=입력값!$B$11,-PMT(입력값!$B$10,입력값!$B$11-입력값!$B$12,입력값!$B$9),0))</f>
        <v>12141188.436691593</v>
      </c>
      <c r="G14" s="12">
        <f t="shared" si="0"/>
        <v>3100362.4483717941</v>
      </c>
      <c r="H14" s="12">
        <f t="shared" si="1"/>
        <v>26243054.815545186</v>
      </c>
      <c r="I14" s="18" t="str">
        <f t="shared" si="2"/>
        <v>회수완료</v>
      </c>
    </row>
    <row r="15" spans="1:9" ht="15" customHeight="1" x14ac:dyDescent="0.3">
      <c r="A15" s="18">
        <v>11</v>
      </c>
      <c r="B15" s="12">
        <f>입력값!B18*(1-입력값!B22)^(A15-1)</f>
        <v>124975.87114320244</v>
      </c>
      <c r="C15" s="12">
        <f>B15*입력값!B21</f>
        <v>24120343.13063807</v>
      </c>
      <c r="D15" s="12">
        <f>입력값!B29</f>
        <v>2000000</v>
      </c>
      <c r="E15" s="12">
        <f>IF(A15=입력값!B23,입력값!B28,0)</f>
        <v>0</v>
      </c>
      <c r="F15" s="12">
        <f>IF(A15&lt;=입력값!$B$12,입력값!$B$9*입력값!$B$10,IF(A15&lt;=입력값!$B$11,-PMT(입력값!$B$10,입력값!$B$11-입력값!$B$12,입력값!$B$9),0))</f>
        <v>12141188.436691593</v>
      </c>
      <c r="G15" s="12">
        <f t="shared" si="0"/>
        <v>9979154.693946477</v>
      </c>
      <c r="H15" s="12">
        <f t="shared" si="1"/>
        <v>36222209.509491667</v>
      </c>
      <c r="I15" s="18" t="str">
        <f t="shared" si="2"/>
        <v>회수완료</v>
      </c>
    </row>
    <row r="16" spans="1:9" ht="15" customHeight="1" x14ac:dyDescent="0.3">
      <c r="A16" s="18">
        <v>12</v>
      </c>
      <c r="B16" s="12">
        <f>입력값!B18*(1-입력값!B22)^(A16-1)</f>
        <v>124350.99178748642</v>
      </c>
      <c r="C16" s="12">
        <f>B16*입력값!B21</f>
        <v>23999741.414984878</v>
      </c>
      <c r="D16" s="12">
        <f>입력값!B29</f>
        <v>2000000</v>
      </c>
      <c r="E16" s="12">
        <f>IF(A16=입력값!B23,입력값!B28,0)</f>
        <v>0</v>
      </c>
      <c r="F16" s="12">
        <f>IF(A16&lt;=입력값!$B$12,입력값!$B$9*입력값!$B$10,IF(A16&lt;=입력값!$B$11,-PMT(입력값!$B$10,입력값!$B$11-입력값!$B$12,입력값!$B$9),0))</f>
        <v>12141188.436691593</v>
      </c>
      <c r="G16" s="12">
        <f t="shared" si="0"/>
        <v>9858552.9782932848</v>
      </c>
      <c r="H16" s="12">
        <f t="shared" si="1"/>
        <v>46080762.487784952</v>
      </c>
      <c r="I16" s="19" t="str">
        <f t="shared" si="2"/>
        <v>회수완료</v>
      </c>
    </row>
    <row r="17" spans="1:9" ht="15" customHeight="1" x14ac:dyDescent="0.3">
      <c r="A17" s="18">
        <v>13</v>
      </c>
      <c r="B17" s="12">
        <f>입력값!B18*(1-입력값!B22)^(A17-1)</f>
        <v>123729.23682854899</v>
      </c>
      <c r="C17" s="12">
        <f>B17*입력값!B21</f>
        <v>23879742.707909957</v>
      </c>
      <c r="D17" s="12">
        <f>입력값!B29</f>
        <v>2000000</v>
      </c>
      <c r="E17" s="12">
        <f>IF(A17=입력값!B23,입력값!B28,0)</f>
        <v>0</v>
      </c>
      <c r="F17" s="12">
        <f>IF(A17&lt;=입력값!$B$12,입력값!$B$9*입력값!$B$10,IF(A17&lt;=입력값!$B$11,-PMT(입력값!$B$10,입력값!$B$11-입력값!$B$12,입력값!$B$9),0))</f>
        <v>12141188.436691593</v>
      </c>
      <c r="G17" s="12">
        <f t="shared" si="0"/>
        <v>9738554.2712183632</v>
      </c>
      <c r="H17" s="12">
        <f t="shared" si="1"/>
        <v>55819316.759003311</v>
      </c>
      <c r="I17" s="19" t="str">
        <f t="shared" si="2"/>
        <v>회수완료</v>
      </c>
    </row>
    <row r="18" spans="1:9" ht="15" customHeight="1" x14ac:dyDescent="0.3">
      <c r="A18" s="18">
        <v>14</v>
      </c>
      <c r="B18" s="12">
        <f>입력값!B18*(1-입력값!B22)^(A18-1)</f>
        <v>123110.59064440626</v>
      </c>
      <c r="C18" s="12">
        <f>B18*입력값!B21</f>
        <v>23760343.994370408</v>
      </c>
      <c r="D18" s="12">
        <f>입력값!B29</f>
        <v>2000000</v>
      </c>
      <c r="E18" s="12">
        <f>IF(A18=입력값!B23,입력값!B28,0)</f>
        <v>0</v>
      </c>
      <c r="F18" s="12">
        <f>IF(A18&lt;=입력값!$B$12,입력값!$B$9*입력값!$B$10,IF(A18&lt;=입력값!$B$11,-PMT(입력값!$B$10,입력값!$B$11-입력값!$B$12,입력값!$B$9),0))</f>
        <v>12141188.436691593</v>
      </c>
      <c r="G18" s="12">
        <f t="shared" si="0"/>
        <v>9619155.557678815</v>
      </c>
      <c r="H18" s="12">
        <f t="shared" si="1"/>
        <v>65438472.31668213</v>
      </c>
      <c r="I18" s="19" t="str">
        <f t="shared" si="2"/>
        <v>회수완료</v>
      </c>
    </row>
    <row r="19" spans="1:9" ht="15" customHeight="1" x14ac:dyDescent="0.3">
      <c r="A19" s="18">
        <v>15</v>
      </c>
      <c r="B19" s="12">
        <f>입력값!B18*(1-입력값!B22)^(A19-1)</f>
        <v>122495.03769118423</v>
      </c>
      <c r="C19" s="12">
        <f>B19*입력값!B21</f>
        <v>23641542.274398558</v>
      </c>
      <c r="D19" s="12">
        <f>입력값!B29</f>
        <v>2000000</v>
      </c>
      <c r="E19" s="12">
        <f>IF(A19=입력값!B23,입력값!B28,0)</f>
        <v>0</v>
      </c>
      <c r="F19" s="12">
        <f>IF(A19&lt;=입력값!$B$12,입력값!$B$9*입력값!$B$10,IF(A19&lt;=입력값!$B$11,-PMT(입력값!$B$10,입력값!$B$11-입력값!$B$12,입력값!$B$9),0))</f>
        <v>12141188.436691593</v>
      </c>
      <c r="G19" s="12">
        <f t="shared" si="0"/>
        <v>9500353.8377069645</v>
      </c>
      <c r="H19" s="12">
        <f t="shared" si="1"/>
        <v>74938826.154389098</v>
      </c>
      <c r="I19" s="19" t="str">
        <f t="shared" si="2"/>
        <v>회수완료</v>
      </c>
    </row>
    <row r="20" spans="1:9" ht="15" customHeight="1" x14ac:dyDescent="0.3">
      <c r="A20" s="18">
        <v>16</v>
      </c>
      <c r="B20" s="12">
        <f>입력값!B18*(1-입력값!B22)^(A20-1)</f>
        <v>121882.56250272831</v>
      </c>
      <c r="C20" s="12">
        <f>B20*입력값!B21</f>
        <v>23523334.563026562</v>
      </c>
      <c r="D20" s="12">
        <f>입력값!B29</f>
        <v>2000000</v>
      </c>
      <c r="E20" s="12">
        <f>IF(A20=입력값!B23,입력값!B28,0)</f>
        <v>0</v>
      </c>
      <c r="F20" s="12">
        <f>IF(A20&lt;=입력값!$B$12,입력값!$B$9*입력값!$B$10,IF(A20&lt;=입력값!$B$11,-PMT(입력값!$B$10,입력값!$B$11-입력값!$B$12,입력값!$B$9),0))</f>
        <v>12141188.436691593</v>
      </c>
      <c r="G20" s="12">
        <f t="shared" si="0"/>
        <v>9382146.126334969</v>
      </c>
      <c r="H20" s="12">
        <f t="shared" si="1"/>
        <v>84320972.280724064</v>
      </c>
      <c r="I20" s="19" t="str">
        <f t="shared" si="2"/>
        <v>회수완료</v>
      </c>
    </row>
    <row r="21" spans="1:9" ht="15" customHeight="1" x14ac:dyDescent="0.3">
      <c r="A21" s="18">
        <v>17</v>
      </c>
      <c r="B21" s="12">
        <f>입력값!B18*(1-입력값!B22)^(A21-1)</f>
        <v>121273.14969021466</v>
      </c>
      <c r="C21" s="12">
        <f>B21*입력값!B21</f>
        <v>23405717.890211429</v>
      </c>
      <c r="D21" s="12">
        <f>입력값!B29</f>
        <v>2000000</v>
      </c>
      <c r="E21" s="12">
        <f>IF(A21=입력값!B23,입력값!B28,0)</f>
        <v>0</v>
      </c>
      <c r="F21" s="12">
        <f>IF(A21&lt;=입력값!$B$12,입력값!$B$9*입력값!$B$10,IF(A21&lt;=입력값!$B$11,-PMT(입력값!$B$10,입력값!$B$11-입력값!$B$12,입력값!$B$9),0))</f>
        <v>12141188.436691593</v>
      </c>
      <c r="G21" s="12">
        <f t="shared" si="0"/>
        <v>9264529.4535198361</v>
      </c>
      <c r="H21" s="12">
        <f t="shared" si="1"/>
        <v>93585501.7342439</v>
      </c>
      <c r="I21" s="19" t="str">
        <f t="shared" si="2"/>
        <v>회수완료</v>
      </c>
    </row>
    <row r="22" spans="1:9" ht="15" customHeight="1" x14ac:dyDescent="0.3">
      <c r="A22" s="18">
        <v>18</v>
      </c>
      <c r="B22" s="12">
        <f>입력값!B18*(1-입력값!B22)^(A22-1)</f>
        <v>120666.78394176358</v>
      </c>
      <c r="C22" s="12">
        <f>B22*입력값!B21</f>
        <v>23288689.300760373</v>
      </c>
      <c r="D22" s="12">
        <f>입력값!B29</f>
        <v>2000000</v>
      </c>
      <c r="E22" s="12">
        <f>IF(A22=입력값!B23,입력값!B28,0)</f>
        <v>0</v>
      </c>
      <c r="F22" s="12">
        <f>IF(A22&lt;=입력값!$B$12,입력값!$B$9*입력값!$B$10,IF(A22&lt;=입력값!$B$11,-PMT(입력값!$B$10,입력값!$B$11-입력값!$B$12,입력값!$B$9),0))</f>
        <v>12141188.436691593</v>
      </c>
      <c r="G22" s="12">
        <f t="shared" si="0"/>
        <v>9147500.8640687801</v>
      </c>
      <c r="H22" s="12">
        <f t="shared" si="1"/>
        <v>102733002.59831268</v>
      </c>
      <c r="I22" s="19" t="str">
        <f t="shared" si="2"/>
        <v>회수완료</v>
      </c>
    </row>
    <row r="23" spans="1:9" ht="15" customHeight="1" x14ac:dyDescent="0.3">
      <c r="A23" s="18">
        <v>19</v>
      </c>
      <c r="B23" s="12">
        <f>입력값!B18*(1-입력값!B22)^(A23-1)</f>
        <v>120063.45002205478</v>
      </c>
      <c r="C23" s="12">
        <f>B23*입력값!B21</f>
        <v>23172245.85425657</v>
      </c>
      <c r="D23" s="12">
        <f>입력값!B29</f>
        <v>2000000</v>
      </c>
      <c r="E23" s="12">
        <f>IF(A23=입력값!B23,입력값!B28,0)</f>
        <v>0</v>
      </c>
      <c r="F23" s="12">
        <f>IF(A23&lt;=입력값!$B$12,입력값!$B$9*입력값!$B$10,IF(A23&lt;=입력값!$B$11,-PMT(입력값!$B$10,입력값!$B$11-입력값!$B$12,입력값!$B$9),0))</f>
        <v>12141188.436691593</v>
      </c>
      <c r="G23" s="12">
        <f t="shared" si="0"/>
        <v>9031057.417564977</v>
      </c>
      <c r="H23" s="12">
        <f t="shared" si="1"/>
        <v>111764060.01587765</v>
      </c>
      <c r="I23" s="19" t="str">
        <f t="shared" si="2"/>
        <v>회수완료</v>
      </c>
    </row>
    <row r="24" spans="1:9" ht="15" customHeight="1" x14ac:dyDescent="0.3">
      <c r="A24" s="18">
        <v>20</v>
      </c>
      <c r="B24" s="12">
        <f>입력값!B18*(1-입력값!B22)^(A24-1)</f>
        <v>119463.1327719445</v>
      </c>
      <c r="C24" s="12">
        <f>B24*입력값!B21</f>
        <v>23056384.624985289</v>
      </c>
      <c r="D24" s="12">
        <f>입력값!B29</f>
        <v>2000000</v>
      </c>
      <c r="E24" s="12">
        <f>IF(A24=입력값!B23,입력값!B28,0)</f>
        <v>0</v>
      </c>
      <c r="F24" s="12">
        <f>IF(A24&lt;=입력값!$B$12,입력값!$B$9*입력값!$B$10,IF(A24&lt;=입력값!$B$11,-PMT(입력값!$B$10,입력값!$B$11-입력값!$B$12,입력값!$B$9),0))</f>
        <v>12141188.436691593</v>
      </c>
      <c r="G24" s="12">
        <f t="shared" si="0"/>
        <v>8915196.1882936954</v>
      </c>
      <c r="H24" s="12">
        <f t="shared" si="1"/>
        <v>120679256.20417134</v>
      </c>
      <c r="I24" s="19" t="str">
        <f t="shared" si="2"/>
        <v>회수완료</v>
      </c>
    </row>
    <row r="26" spans="1:9" ht="15" customHeight="1" x14ac:dyDescent="0.3">
      <c r="A26" s="16" t="s">
        <v>67</v>
      </c>
    </row>
  </sheetData>
  <mergeCells count="1">
    <mergeCell ref="A1:I1"/>
  </mergeCells>
  <phoneticPr fontId="10" type="noConversion"/>
  <conditionalFormatting sqref="G4:H24">
    <cfRule type="cellIs" dxfId="1" priority="2" operator="lessThan">
      <formula>0</formula>
    </cfRule>
  </conditionalFormatting>
  <conditionalFormatting sqref="I4:I24">
    <cfRule type="containsText" dxfId="0" priority="1" operator="containsText" text="회수완료">
      <formula>NOT(ISERROR(SEARCH("회수완료",I4)))</formula>
    </cfRule>
  </conditionalFormatting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56E9-5E18-5838-A448-4FB6073873F1}">
  <dimension ref="A1:G30"/>
  <sheetViews>
    <sheetView topLeftCell="A4" workbookViewId="0">
      <selection activeCell="P32" sqref="P32"/>
    </sheetView>
  </sheetViews>
  <sheetFormatPr defaultColWidth="8.875" defaultRowHeight="15" customHeight="1" x14ac:dyDescent="0.3"/>
  <cols>
    <col min="1" max="1" width="25.75" customWidth="1"/>
    <col min="2" max="2" width="20" customWidth="1"/>
    <col min="3" max="3" width="11.375" customWidth="1"/>
    <col min="5" max="5" width="4.75" customWidth="1"/>
    <col min="6" max="6" width="17" customWidth="1"/>
    <col min="7" max="7" width="17.625" customWidth="1"/>
  </cols>
  <sheetData>
    <row r="1" spans="1:7" ht="18.75" customHeight="1" x14ac:dyDescent="0.3">
      <c r="A1" s="30" t="s">
        <v>68</v>
      </c>
      <c r="B1" s="27"/>
      <c r="C1" s="27"/>
      <c r="D1" s="27"/>
      <c r="E1" s="20" t="s">
        <v>61</v>
      </c>
      <c r="F1" s="20" t="s">
        <v>69</v>
      </c>
      <c r="G1" s="20" t="s">
        <v>70</v>
      </c>
    </row>
    <row r="2" spans="1:7" ht="15" customHeight="1" x14ac:dyDescent="0.3">
      <c r="E2" s="20">
        <f>연간분석!A4</f>
        <v>0</v>
      </c>
      <c r="F2" s="20">
        <f>연간분석!G4</f>
        <v>-90000000</v>
      </c>
      <c r="G2" s="20">
        <f>연간분석!H4</f>
        <v>-90000000</v>
      </c>
    </row>
    <row r="3" spans="1:7" ht="15.75" customHeight="1" x14ac:dyDescent="0.3">
      <c r="A3" s="32" t="s">
        <v>71</v>
      </c>
      <c r="B3" s="27"/>
      <c r="C3" s="27"/>
      <c r="E3" s="20">
        <f>연간분석!A5</f>
        <v>1</v>
      </c>
      <c r="F3" s="20">
        <f>연간분석!G5</f>
        <v>16780200</v>
      </c>
      <c r="G3" s="20">
        <f>연간분석!H5</f>
        <v>-73219800</v>
      </c>
    </row>
    <row r="4" spans="1:7" ht="15" customHeight="1" x14ac:dyDescent="0.3">
      <c r="A4" s="21" t="s">
        <v>72</v>
      </c>
      <c r="B4" s="22">
        <f>입력값!B6</f>
        <v>230000000</v>
      </c>
      <c r="C4" s="21" t="s">
        <v>6</v>
      </c>
      <c r="E4" s="20">
        <f>연간분석!A6</f>
        <v>2</v>
      </c>
      <c r="F4" s="20">
        <f>연간분석!G6</f>
        <v>16653399</v>
      </c>
      <c r="G4" s="20">
        <f>연간분석!H6</f>
        <v>-56566401</v>
      </c>
    </row>
    <row r="5" spans="1:7" ht="15" customHeight="1" x14ac:dyDescent="0.3">
      <c r="A5" s="21" t="s">
        <v>9</v>
      </c>
      <c r="B5" s="22">
        <f>입력값!B8</f>
        <v>90000000</v>
      </c>
      <c r="C5" s="21" t="s">
        <v>6</v>
      </c>
      <c r="E5" s="20">
        <f>연간분석!A7</f>
        <v>3</v>
      </c>
      <c r="F5" s="20">
        <f>연간분석!G7</f>
        <v>16527232.004999999</v>
      </c>
      <c r="G5" s="20">
        <f>연간분석!H7</f>
        <v>-40039168.995000005</v>
      </c>
    </row>
    <row r="6" spans="1:7" ht="15" customHeight="1" x14ac:dyDescent="0.3">
      <c r="A6" s="21" t="s">
        <v>10</v>
      </c>
      <c r="B6" s="22">
        <f>입력값!B9</f>
        <v>140000000</v>
      </c>
      <c r="C6" s="21" t="s">
        <v>6</v>
      </c>
      <c r="E6" s="20">
        <f>연간분석!A8</f>
        <v>4</v>
      </c>
      <c r="F6" s="20">
        <f>연간분석!G8</f>
        <v>10840507.408283409</v>
      </c>
      <c r="G6" s="20">
        <f>연간분석!H8</f>
        <v>-29198661.586716596</v>
      </c>
    </row>
    <row r="7" spans="1:7" ht="15" customHeight="1" x14ac:dyDescent="0.3">
      <c r="A7" s="21" t="s">
        <v>73</v>
      </c>
      <c r="B7" s="22">
        <f>연간분석!C5</f>
        <v>25360200</v>
      </c>
      <c r="C7" s="21" t="s">
        <v>6</v>
      </c>
      <c r="E7" s="20">
        <f>연간분석!A9</f>
        <v>5</v>
      </c>
      <c r="F7" s="20">
        <f>연간분석!G9</f>
        <v>10715598.929058533</v>
      </c>
      <c r="G7" s="20">
        <f>연간분석!H9</f>
        <v>-18483062.657658063</v>
      </c>
    </row>
    <row r="8" spans="1:7" ht="15" customHeight="1" x14ac:dyDescent="0.3">
      <c r="A8" s="21" t="s">
        <v>74</v>
      </c>
      <c r="B8" s="22">
        <f>연간분석!G5</f>
        <v>16780200</v>
      </c>
      <c r="C8" s="21" t="s">
        <v>6</v>
      </c>
      <c r="E8" s="20">
        <f>연간분석!A10</f>
        <v>6</v>
      </c>
      <c r="F8" s="20">
        <f>연간분석!G10</f>
        <v>10591314.992229786</v>
      </c>
      <c r="G8" s="20">
        <f>연간분석!H10</f>
        <v>-7891747.6654282771</v>
      </c>
    </row>
    <row r="9" spans="1:7" ht="15" customHeight="1" x14ac:dyDescent="0.3">
      <c r="A9" s="21" t="s">
        <v>75</v>
      </c>
      <c r="B9" s="22">
        <f>SUM(연간분석!G4:G24)</f>
        <v>120679256.20417134</v>
      </c>
      <c r="C9" s="21" t="s">
        <v>6</v>
      </c>
      <c r="E9" s="20">
        <f>연간분석!A11</f>
        <v>7</v>
      </c>
      <c r="F9" s="20">
        <f>연간분석!G11</f>
        <v>10467652.475085177</v>
      </c>
      <c r="G9" s="20">
        <f>연간분석!H11</f>
        <v>2575904.8096568994</v>
      </c>
    </row>
    <row r="10" spans="1:7" ht="15" customHeight="1" x14ac:dyDescent="0.3">
      <c r="E10" s="20">
        <f>연간분석!A12</f>
        <v>8</v>
      </c>
      <c r="F10" s="20">
        <f>연간분석!G12</f>
        <v>10344608.27052629</v>
      </c>
      <c r="G10" s="20">
        <f>연간분석!H12</f>
        <v>12920513.080183189</v>
      </c>
    </row>
    <row r="11" spans="1:7" ht="15.75" customHeight="1" x14ac:dyDescent="0.3">
      <c r="A11" s="32" t="s">
        <v>76</v>
      </c>
      <c r="B11" s="27"/>
      <c r="C11" s="27"/>
      <c r="E11" s="20">
        <f>연간분석!A13</f>
        <v>9</v>
      </c>
      <c r="F11" s="20">
        <f>연간분석!G13</f>
        <v>10222179.286990203</v>
      </c>
      <c r="G11" s="20">
        <f>연간분석!H13</f>
        <v>23142692.367173392</v>
      </c>
    </row>
    <row r="12" spans="1:7" ht="15" customHeight="1" x14ac:dyDescent="0.3">
      <c r="A12" s="21" t="s">
        <v>77</v>
      </c>
      <c r="B12" s="23">
        <f>입력값!B8/연간분석!G5</f>
        <v>5.3634640826688598</v>
      </c>
      <c r="C12" s="21" t="s">
        <v>14</v>
      </c>
      <c r="E12" s="20">
        <f>연간분석!A14</f>
        <v>10</v>
      </c>
      <c r="F12" s="20">
        <f>연간분석!G14</f>
        <v>3100362.4483717941</v>
      </c>
      <c r="G12" s="20">
        <f>연간분석!H14</f>
        <v>26243054.815545186</v>
      </c>
    </row>
    <row r="13" spans="1:7" ht="15" customHeight="1" x14ac:dyDescent="0.3">
      <c r="A13" s="21" t="s">
        <v>78</v>
      </c>
      <c r="B13" s="24">
        <f>MATCH(TRUE,INDEX(연간분석!H4:H24&gt;=0,0),0)-1</f>
        <v>7</v>
      </c>
      <c r="C13" s="21" t="s">
        <v>30</v>
      </c>
      <c r="E13" s="20">
        <f>연간분석!A15</f>
        <v>11</v>
      </c>
      <c r="F13" s="20">
        <f>연간분석!G15</f>
        <v>9979154.693946477</v>
      </c>
      <c r="G13" s="20">
        <f>연간분석!H15</f>
        <v>36222209.509491667</v>
      </c>
    </row>
    <row r="14" spans="1:7" ht="15" customHeight="1" x14ac:dyDescent="0.3">
      <c r="A14" s="21" t="s">
        <v>79</v>
      </c>
      <c r="B14" s="25">
        <f>IRR(연간분석!G4:G24)</f>
        <v>0.11859448154492336</v>
      </c>
      <c r="C14" s="21"/>
      <c r="E14" s="20">
        <f>연간분석!A16</f>
        <v>12</v>
      </c>
      <c r="F14" s="20">
        <f>연간분석!G16</f>
        <v>9858552.9782932848</v>
      </c>
      <c r="G14" s="20">
        <f>연간분석!H16</f>
        <v>46080762.487784952</v>
      </c>
    </row>
    <row r="15" spans="1:7" ht="15" customHeight="1" x14ac:dyDescent="0.3">
      <c r="A15" s="21" t="s">
        <v>80</v>
      </c>
      <c r="B15" s="22">
        <f>NPV(입력값!B14,연간분석!G5:G24)+연간분석!G4</f>
        <v>48506449.996838123</v>
      </c>
      <c r="C15" s="21" t="s">
        <v>6</v>
      </c>
      <c r="E15" s="20">
        <f>연간분석!A17</f>
        <v>13</v>
      </c>
      <c r="F15" s="20">
        <f>연간분석!G17</f>
        <v>9738554.2712183632</v>
      </c>
      <c r="G15" s="20">
        <f>연간분석!H17</f>
        <v>55819316.759003311</v>
      </c>
    </row>
    <row r="16" spans="1:7" ht="15" customHeight="1" x14ac:dyDescent="0.3">
      <c r="A16" s="21" t="s">
        <v>81</v>
      </c>
      <c r="B16" s="25">
        <f>SUM(연간분석!G4:G24)/입력값!B8</f>
        <v>1.3408806244907927</v>
      </c>
      <c r="C16" s="21"/>
      <c r="E16" s="20">
        <f>연간분석!A18</f>
        <v>14</v>
      </c>
      <c r="F16" s="20">
        <f>연간분석!G18</f>
        <v>9619155.557678815</v>
      </c>
      <c r="G16" s="20">
        <f>연간분석!H18</f>
        <v>65438472.31668213</v>
      </c>
    </row>
    <row r="17" spans="1:7" ht="15" customHeight="1" x14ac:dyDescent="0.3">
      <c r="E17" s="20">
        <f>연간분석!A19</f>
        <v>15</v>
      </c>
      <c r="F17" s="20">
        <f>연간분석!G19</f>
        <v>9500353.8377069645</v>
      </c>
      <c r="G17" s="20">
        <f>연간분석!H19</f>
        <v>74938826.154389098</v>
      </c>
    </row>
    <row r="18" spans="1:7" ht="15" customHeight="1" x14ac:dyDescent="0.3">
      <c r="A18" s="32" t="s">
        <v>82</v>
      </c>
      <c r="B18" s="27"/>
      <c r="C18" s="27"/>
      <c r="E18" s="20">
        <f>연간분석!A20</f>
        <v>16</v>
      </c>
      <c r="F18" s="20">
        <f>연간분석!G20</f>
        <v>9382146.126334969</v>
      </c>
      <c r="G18" s="20">
        <f>연간분석!H20</f>
        <v>84320972.280724064</v>
      </c>
    </row>
    <row r="19" spans="1:7" ht="15" customHeight="1" x14ac:dyDescent="0.3">
      <c r="E19" s="20">
        <f>연간분석!A21</f>
        <v>17</v>
      </c>
      <c r="F19" s="20">
        <f>연간분석!G21</f>
        <v>9264529.4535198361</v>
      </c>
      <c r="G19" s="20">
        <f>연간분석!H21</f>
        <v>93585501.7342439</v>
      </c>
    </row>
    <row r="20" spans="1:7" ht="15" customHeight="1" x14ac:dyDescent="0.3">
      <c r="E20" s="20">
        <f>연간분석!A22</f>
        <v>18</v>
      </c>
      <c r="F20" s="20">
        <f>연간분석!G22</f>
        <v>9147500.8640687801</v>
      </c>
      <c r="G20" s="20">
        <f>연간분석!H22</f>
        <v>102733002.59831268</v>
      </c>
    </row>
    <row r="21" spans="1:7" ht="15" customHeight="1" x14ac:dyDescent="0.3">
      <c r="E21" s="20">
        <f>연간분석!A23</f>
        <v>19</v>
      </c>
      <c r="F21" s="20">
        <f>연간분석!G23</f>
        <v>9031057.417564977</v>
      </c>
      <c r="G21" s="20">
        <f>연간분석!H23</f>
        <v>111764060.01587765</v>
      </c>
    </row>
    <row r="22" spans="1:7" ht="15" customHeight="1" x14ac:dyDescent="0.3">
      <c r="E22" s="20">
        <f>연간분석!A24</f>
        <v>20</v>
      </c>
      <c r="F22" s="20">
        <f>연간분석!G24</f>
        <v>8915196.1882936954</v>
      </c>
      <c r="G22" s="20">
        <f>연간분석!H24</f>
        <v>120679256.20417134</v>
      </c>
    </row>
    <row r="23" spans="1:7" ht="15" customHeight="1" x14ac:dyDescent="0.3">
      <c r="E23" s="20"/>
      <c r="F23" s="20"/>
      <c r="G23" s="20"/>
    </row>
    <row r="24" spans="1:7" ht="15" customHeight="1" x14ac:dyDescent="0.3">
      <c r="E24" s="20"/>
      <c r="F24" s="20"/>
      <c r="G24" s="20"/>
    </row>
    <row r="25" spans="1:7" ht="15" customHeight="1" x14ac:dyDescent="0.3">
      <c r="E25" s="20"/>
      <c r="F25" s="20"/>
      <c r="G25" s="20"/>
    </row>
    <row r="26" spans="1:7" ht="15" customHeight="1" x14ac:dyDescent="0.3">
      <c r="E26" s="20"/>
      <c r="F26" s="20"/>
      <c r="G26" s="20"/>
    </row>
    <row r="27" spans="1:7" ht="15" customHeight="1" x14ac:dyDescent="0.3">
      <c r="E27" s="20"/>
      <c r="F27" s="20"/>
      <c r="G27" s="20"/>
    </row>
    <row r="28" spans="1:7" ht="15" customHeight="1" x14ac:dyDescent="0.3">
      <c r="E28" s="20"/>
      <c r="F28" s="20"/>
      <c r="G28" s="20"/>
    </row>
    <row r="29" spans="1:7" ht="15" customHeight="1" x14ac:dyDescent="0.3">
      <c r="E29" s="20"/>
      <c r="F29" s="20"/>
      <c r="G29" s="20"/>
    </row>
    <row r="30" spans="1:7" ht="15" customHeight="1" x14ac:dyDescent="0.3">
      <c r="E30" s="20"/>
      <c r="F30" s="20"/>
      <c r="G30" s="20"/>
    </row>
  </sheetData>
  <mergeCells count="4">
    <mergeCell ref="A1:D1"/>
    <mergeCell ref="A3:C3"/>
    <mergeCell ref="A11:C11"/>
    <mergeCell ref="A18:C18"/>
  </mergeCells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입력값</vt:lpstr>
      <vt:lpstr>월별분석</vt:lpstr>
      <vt:lpstr>연간분석</vt:lpstr>
      <vt:lpstr>수익성지표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2026-07-23T03:10:41Z</dcterms:created>
  <dcterms:modified xsi:type="dcterms:W3CDTF">2026-07-23T03:47:40Z</dcterms:modified>
</cp:coreProperties>
</file>